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20" windowHeight="13420"/>
  </bookViews>
  <sheets>
    <sheet name="金库资金流动记录" sheetId="1" r:id="rId1"/>
  </sheets>
  <calcPr calcId="144525"/>
</workbook>
</file>

<file path=xl/sharedStrings.xml><?xml version="1.0" encoding="utf-8"?>
<sst xmlns="http://schemas.openxmlformats.org/spreadsheetml/2006/main" count="24">
  <si>
    <t>2018年</t>
  </si>
  <si>
    <t>2019年</t>
  </si>
  <si>
    <t>个人资金流入记录</t>
  </si>
  <si>
    <t>日期</t>
  </si>
  <si>
    <t>事件</t>
  </si>
  <si>
    <t>2018年度补助金</t>
  </si>
  <si>
    <t>兼职工资转入</t>
  </si>
  <si>
    <t>生活费转存</t>
  </si>
  <si>
    <t>国家助学金补助</t>
  </si>
  <si>
    <t>国家助学贷款</t>
  </si>
  <si>
    <t>发生金额</t>
  </si>
  <si>
    <t>个人资金支出记录</t>
  </si>
  <si>
    <t>2019年消费转出</t>
  </si>
  <si>
    <t>购物+出行</t>
  </si>
  <si>
    <t>证券</t>
  </si>
  <si>
    <t>基金盈利转出</t>
  </si>
  <si>
    <t>股市盈利转出</t>
  </si>
  <si>
    <t>余下金额</t>
  </si>
  <si>
    <t>本金20000</t>
  </si>
  <si>
    <t>兼职记录</t>
  </si>
  <si>
    <t>2019-04</t>
  </si>
  <si>
    <t>2019-05至06</t>
  </si>
  <si>
    <t>攀岩馆兼职</t>
  </si>
  <si>
    <t>家教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</si>
</sst>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/>
    <xf numFmtId="0" fontId="7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20" borderId="18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6" fillId="17" borderId="18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15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0" borderId="17" applyNumberFormat="0" applyAlignment="0" applyProtection="0">
      <alignment vertical="center"/>
    </xf>
    <xf numFmtId="0" fontId="21" fillId="17" borderId="20" applyNumberFormat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14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13" applyNumberFormat="0" applyFill="0" applyAlignment="0" applyProtection="0">
      <alignment vertical="center"/>
    </xf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 wrapText="1"/>
    </xf>
    <xf numFmtId="176" fontId="1" fillId="0" borderId="8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0"/>
  <sheetViews>
    <sheetView tabSelected="1" workbookViewId="0">
      <selection activeCell="G17" sqref="G17"/>
    </sheetView>
  </sheetViews>
  <sheetFormatPr defaultColWidth="8.71428571428571" defaultRowHeight="16.8"/>
  <cols>
    <col min="1" max="1" width="18.4285714285714" style="4" customWidth="1"/>
    <col min="2" max="2" width="9.57142857142857" style="4" customWidth="1"/>
    <col min="3" max="3" width="15.9285714285714" style="4" customWidth="1"/>
    <col min="4" max="4" width="14" style="4" customWidth="1"/>
    <col min="5" max="5" width="11.7142857142857" style="4" customWidth="1"/>
    <col min="6" max="6" width="19.7857142857143" style="4" customWidth="1"/>
    <col min="7" max="7" width="14" style="4" customWidth="1"/>
    <col min="8" max="8" width="16.2142857142857" style="4" customWidth="1"/>
    <col min="9" max="9" width="14" style="4" customWidth="1"/>
    <col min="10" max="10" width="29.6428571428571" style="4" customWidth="1"/>
    <col min="11" max="11" width="14.4285714285714" style="4" customWidth="1"/>
    <col min="12" max="12" width="23.1071428571429" style="4" customWidth="1"/>
    <col min="13" max="13" width="14.1071428571429" style="4" customWidth="1"/>
    <col min="14" max="14" width="16.4464285714286" style="4" customWidth="1"/>
    <col min="15" max="15" width="14.1071428571429" style="4" customWidth="1"/>
    <col min="16" max="16" width="29.6428571428571" style="4" customWidth="1"/>
    <col min="17" max="17" width="16.4464285714286" style="4" customWidth="1"/>
    <col min="18" max="18" width="9.66964285714286" style="4" customWidth="1"/>
    <col min="19" max="15330" width="9" style="4"/>
    <col min="15331" max="15333" width="8.71428571428571" style="4"/>
    <col min="15334" max="15334" width="9" style="4"/>
    <col min="15335" max="16384" width="8.71428571428571" style="4"/>
  </cols>
  <sheetData>
    <row r="1" spans="3:8">
      <c r="C1" s="6" t="s">
        <v>0</v>
      </c>
      <c r="D1" s="7" t="s">
        <v>1</v>
      </c>
      <c r="E1" s="7"/>
      <c r="F1" s="7"/>
      <c r="G1" s="31"/>
      <c r="H1"/>
    </row>
    <row r="2" s="1" customFormat="1" spans="1:10">
      <c r="A2" s="8" t="s">
        <v>2</v>
      </c>
      <c r="B2" s="9" t="s">
        <v>3</v>
      </c>
      <c r="C2" s="10">
        <v>2018</v>
      </c>
      <c r="D2" s="11" t="s">
        <v>1</v>
      </c>
      <c r="E2" s="22" t="s">
        <v>1</v>
      </c>
      <c r="F2" s="22" t="s">
        <v>1</v>
      </c>
      <c r="G2" s="32">
        <v>43804</v>
      </c>
      <c r="H2" s="22">
        <v>43892</v>
      </c>
      <c r="I2" s="22">
        <v>44178</v>
      </c>
      <c r="J2" s="22">
        <v>44179</v>
      </c>
    </row>
    <row r="3" spans="1:10">
      <c r="A3" s="12"/>
      <c r="B3" s="13" t="s">
        <v>4</v>
      </c>
      <c r="C3" s="14" t="s">
        <v>5</v>
      </c>
      <c r="D3" s="4" t="s">
        <v>6</v>
      </c>
      <c r="E3" s="4" t="s">
        <v>7</v>
      </c>
      <c r="F3" s="4" t="s">
        <v>8</v>
      </c>
      <c r="G3" s="14" t="s">
        <v>9</v>
      </c>
      <c r="H3" s="4" t="s">
        <v>8</v>
      </c>
      <c r="I3" s="14" t="s">
        <v>9</v>
      </c>
      <c r="J3" s="4" t="s">
        <v>8</v>
      </c>
    </row>
    <row r="4" s="2" customFormat="1" spans="1:10">
      <c r="A4" s="15"/>
      <c r="B4" s="16" t="s">
        <v>10</v>
      </c>
      <c r="C4" s="17">
        <v>7000</v>
      </c>
      <c r="D4" s="2">
        <f>1008+1575+1000+200+3800</f>
        <v>7583</v>
      </c>
      <c r="E4" s="2">
        <f>300+750+604.03+1195.9+800+800</f>
        <v>4449.93</v>
      </c>
      <c r="F4" s="2">
        <v>2400</v>
      </c>
      <c r="G4" s="17">
        <v>1800</v>
      </c>
      <c r="H4" s="2">
        <v>2200</v>
      </c>
      <c r="I4" s="17">
        <v>1800</v>
      </c>
      <c r="J4" s="2">
        <v>1650</v>
      </c>
    </row>
    <row r="5" s="3" customFormat="1" spans="1:1">
      <c r="A5" s="4"/>
    </row>
    <row r="6" s="3" customFormat="1" spans="1:13">
      <c r="A6" s="4"/>
      <c r="C6" s="18" t="s">
        <v>1</v>
      </c>
      <c r="K6" s="4"/>
      <c r="L6" s="4"/>
      <c r="M6" s="4"/>
    </row>
    <row r="7" s="1" customFormat="1" spans="1:3">
      <c r="A7" s="8" t="s">
        <v>11</v>
      </c>
      <c r="B7" s="9" t="s">
        <v>3</v>
      </c>
      <c r="C7" s="19" t="s">
        <v>12</v>
      </c>
    </row>
    <row r="8" s="4" customFormat="1" spans="1:3">
      <c r="A8" s="12"/>
      <c r="B8" s="13" t="s">
        <v>4</v>
      </c>
      <c r="C8" s="13" t="s">
        <v>13</v>
      </c>
    </row>
    <row r="9" s="2" customFormat="1" spans="1:3">
      <c r="A9" s="15"/>
      <c r="B9" s="16" t="s">
        <v>10</v>
      </c>
      <c r="C9" s="16">
        <f>-900-1403-1000</f>
        <v>-3303</v>
      </c>
    </row>
    <row r="11" s="5" customFormat="1" spans="1:7">
      <c r="A11" s="20" t="s">
        <v>14</v>
      </c>
      <c r="B11" s="21" t="s">
        <v>3</v>
      </c>
      <c r="C11" s="22">
        <v>44044</v>
      </c>
      <c r="D11" s="22">
        <v>44075</v>
      </c>
      <c r="E11" s="22">
        <v>44190</v>
      </c>
      <c r="F11" s="22">
        <v>44201</v>
      </c>
      <c r="G11" s="22">
        <v>44210</v>
      </c>
    </row>
    <row r="12" s="3" customFormat="1" spans="1:7">
      <c r="A12" s="23"/>
      <c r="B12" s="24" t="s">
        <v>4</v>
      </c>
      <c r="C12" s="4" t="s">
        <v>15</v>
      </c>
      <c r="D12" s="3" t="s">
        <v>16</v>
      </c>
      <c r="E12" s="3" t="s">
        <v>16</v>
      </c>
      <c r="F12" s="3" t="s">
        <v>16</v>
      </c>
      <c r="G12" s="3" t="s">
        <v>16</v>
      </c>
    </row>
    <row r="13" s="3" customFormat="1" spans="1:7">
      <c r="A13" s="23"/>
      <c r="B13" s="25" t="s">
        <v>10</v>
      </c>
      <c r="C13" s="12">
        <v>2300</v>
      </c>
      <c r="D13" s="3">
        <v>350</v>
      </c>
      <c r="E13" s="3">
        <v>610.57</v>
      </c>
      <c r="F13" s="3">
        <v>1721.06</v>
      </c>
      <c r="G13" s="3">
        <v>385.32</v>
      </c>
    </row>
    <row r="14" s="2" customFormat="1" spans="1:7">
      <c r="A14" s="26"/>
      <c r="B14" s="16" t="s">
        <v>17</v>
      </c>
      <c r="D14" s="2" t="s">
        <v>18</v>
      </c>
      <c r="E14" s="2" t="s">
        <v>18</v>
      </c>
      <c r="F14" s="2" t="s">
        <v>18</v>
      </c>
      <c r="G14" s="2" t="s">
        <v>18</v>
      </c>
    </row>
    <row r="16" spans="1:5">
      <c r="A16" s="27"/>
      <c r="B16" s="27"/>
      <c r="C16" s="28" t="s">
        <v>1</v>
      </c>
      <c r="D16" s="28"/>
      <c r="E16" s="28"/>
    </row>
    <row r="17" spans="1:5">
      <c r="A17" s="27" t="s">
        <v>19</v>
      </c>
      <c r="B17" s="27" t="s">
        <v>3</v>
      </c>
      <c r="C17" s="29" t="s">
        <v>20</v>
      </c>
      <c r="D17" s="27" t="s">
        <v>21</v>
      </c>
      <c r="E17" s="29" t="s">
        <v>1</v>
      </c>
    </row>
    <row r="18" spans="1:5">
      <c r="A18" s="27"/>
      <c r="B18" s="27" t="s">
        <v>4</v>
      </c>
      <c r="C18" s="27" t="s">
        <v>22</v>
      </c>
      <c r="D18" s="27" t="s">
        <v>22</v>
      </c>
      <c r="E18" s="27" t="s">
        <v>23</v>
      </c>
    </row>
    <row r="19" spans="1:5">
      <c r="A19" s="27"/>
      <c r="B19" s="30" t="s">
        <v>10</v>
      </c>
      <c r="C19" s="30">
        <v>1008</v>
      </c>
      <c r="D19" s="30">
        <v>1775</v>
      </c>
      <c r="E19" s="30">
        <f>3800+1440+480+480+480</f>
        <v>6680</v>
      </c>
    </row>
    <row r="20" spans="1:5">
      <c r="A20" s="27"/>
      <c r="B20" s="27"/>
      <c r="C20" s="27">
        <f>SUM(C17:E19)</f>
        <v>9463</v>
      </c>
      <c r="D20" s="27"/>
      <c r="E20" s="27"/>
    </row>
  </sheetData>
  <mergeCells count="7">
    <mergeCell ref="D1:G1"/>
    <mergeCell ref="C16:E16"/>
    <mergeCell ref="C20:E20"/>
    <mergeCell ref="A2:A4"/>
    <mergeCell ref="A7:A9"/>
    <mergeCell ref="A11:A14"/>
    <mergeCell ref="A17:A19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金库资金流动记录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落子为玉</dc:creator>
  <cp:lastModifiedBy>℉</cp:lastModifiedBy>
  <dcterms:created xsi:type="dcterms:W3CDTF">2015-06-08T18:17:00Z</dcterms:created>
  <dcterms:modified xsi:type="dcterms:W3CDTF">2021-02-10T21:23:19Z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