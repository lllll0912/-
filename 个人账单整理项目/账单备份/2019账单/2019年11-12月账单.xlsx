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40" windowHeight="13420" tabRatio="355" firstSheet="1" activeTab="1"/>
  </bookViews>
  <sheets>
    <sheet name="十一月" sheetId="1" r:id="rId1"/>
    <sheet name="十二月" sheetId="2" r:id="rId2"/>
    <sheet name="年度总计" sheetId="4" r:id="rId3"/>
  </sheets>
  <calcPr calcId="144525" concurrentCalc="0"/>
</workbook>
</file>

<file path=xl/comments1.xml><?xml version="1.0" encoding="utf-8"?>
<comments xmlns="http://schemas.openxmlformats.org/spreadsheetml/2006/main">
  <authors>
    <author>19742</author>
  </authors>
  <commentList>
    <comment ref="Y13" authorId="0">
      <text>
        <r>
          <rPr>
            <sz val="9"/>
            <rFont val="宋体"/>
            <charset val="134"/>
          </rPr>
          <t>双十二消费:
冬训出行衣物：844.1
两双鞋：596.93
冬季衣物等服饰：372.07
共计1813.1</t>
        </r>
      </text>
    </comment>
  </commentList>
</comments>
</file>

<file path=xl/comments2.xml><?xml version="1.0" encoding="utf-8"?>
<comments xmlns="http://schemas.openxmlformats.org/spreadsheetml/2006/main">
  <authors>
    <author>luoziweiyu</author>
  </authors>
  <commentList>
    <comment ref="H21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攀岩馆兼职</t>
        </r>
      </text>
    </comment>
    <comment ref="J21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家教</t>
        </r>
      </text>
    </comment>
    <comment ref="M2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学校补助</t>
        </r>
      </text>
    </comment>
    <comment ref="N2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助学贷款剩余金</t>
        </r>
      </text>
    </comment>
  </commentList>
</comments>
</file>

<file path=xl/sharedStrings.xml><?xml version="1.0" encoding="utf-8"?>
<sst xmlns="http://schemas.openxmlformats.org/spreadsheetml/2006/main" count="162">
  <si>
    <t>日期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</si>
  <si>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</si>
  <si>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</si>
  <si>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</si>
  <si>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</si>
  <si>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</si>
  <si>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</si>
  <si>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</si>
  <si>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</si>
  <si>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</si>
  <si>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</si>
  <si>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</si>
  <si>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</si>
  <si>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</si>
  <si>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</si>
  <si>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</si>
  <si>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</si>
  <si>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</si>
  <si>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</si>
  <si>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</si>
  <si>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</si>
  <si>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</si>
  <si>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</si>
  <si>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</si>
  <si>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</si>
  <si>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</si>
  <si>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</si>
  <si>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</si>
  <si>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</si>
  <si>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</si>
  <si>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</si>
  <si>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总计</t>
  </si>
  <si>
    <t>①</t>
  </si>
  <si>
    <t>早餐</t>
  </si>
  <si>
    <t>午餐</t>
  </si>
  <si>
    <t>老妈请客</t>
  </si>
  <si>
    <t>家教</t>
  </si>
  <si>
    <t>朱云驰来</t>
  </si>
  <si>
    <t>晚餐</t>
  </si>
  <si>
    <t>李世洋请客肯德基</t>
  </si>
  <si>
    <t>零食及水果费用</t>
  </si>
  <si>
    <t>枣</t>
  </si>
  <si>
    <t>②</t>
  </si>
  <si>
    <t>交通费用</t>
  </si>
  <si>
    <t>单车半年卡
公交卡充值</t>
  </si>
  <si>
    <t>被动饭局</t>
  </si>
  <si>
    <t>主动性支出</t>
  </si>
  <si>
    <t>看电影冰雪奇缘2</t>
  </si>
  <si>
    <t>旅游</t>
  </si>
  <si>
    <t>小仙女专项</t>
  </si>
  <si>
    <t>书：周国平散文</t>
  </si>
  <si>
    <t>围巾和手套</t>
  </si>
  <si>
    <t>③</t>
  </si>
  <si>
    <t>生活支出</t>
  </si>
  <si>
    <t>提现</t>
  </si>
  <si>
    <t>洗衣服</t>
  </si>
  <si>
    <t>利辛小学捐款+洗衣服</t>
  </si>
  <si>
    <t>iCloud扩容</t>
  </si>
  <si>
    <t>wps会员</t>
  </si>
  <si>
    <t>收纳架</t>
  </si>
  <si>
    <t>④</t>
  </si>
  <si>
    <t>电子产品维修及更新换代</t>
  </si>
  <si>
    <t>⑤</t>
  </si>
  <si>
    <t>衣服鞋子等添置支出</t>
  </si>
  <si>
    <t>⑥</t>
  </si>
  <si>
    <t>书籍教材教辅和教育用品及文印费</t>
  </si>
  <si>
    <t>英语视听说激活码</t>
  </si>
  <si>
    <t>教辅</t>
  </si>
  <si>
    <t>文印</t>
  </si>
  <si>
    <t>⑦</t>
  </si>
  <si>
    <t>团费等其他活动、班级、社团等教育性强制支出和考试配备设施及报名费用和意外</t>
  </si>
  <si>
    <t>共计</t>
  </si>
  <si>
    <t>注：</t>
  </si>
  <si>
    <t>兼职费用支出：</t>
  </si>
  <si>
    <t>给老姐和小仙女买鞋</t>
  </si>
  <si>
    <t>上面77.42是买一条裤子</t>
  </si>
  <si>
    <t>请学弟学妹岩馆(费用由兼职收入承担不计入生活开销)</t>
  </si>
  <si>
    <t>lol皮肤（由兼职收入承担，不计入生活开销）</t>
  </si>
  <si>
    <t>逛超市买零食和杯子白砂糖等（由兼职收入承担，不计入当月开销）</t>
  </si>
  <si>
    <t>兼职收入</t>
  </si>
  <si>
    <t>本月开销现金流来源＝上月结余：564.72➖实际负债：0 +三下乡报销收入300.0+老爸资助200.0+兼职收入剩余转生活费：162.63＝1227.35
➖共计花费：1190.09＝本月结余：37.26  本月实际结余＝-190.69
结论：本月消费没有问题。</t>
  </si>
  <si>
    <t>在洁哥家吃</t>
  </si>
  <si>
    <t>出行规划</t>
  </si>
  <si>
    <t>阿姨家</t>
  </si>
  <si>
    <t>聚餐</t>
  </si>
  <si>
    <t>零食</t>
  </si>
  <si>
    <t>香蕉</t>
  </si>
  <si>
    <t>零食+饿了</t>
  </si>
  <si>
    <t>水果加零食</t>
  </si>
  <si>
    <t>打车</t>
  </si>
  <si>
    <t>百里毅行：</t>
  </si>
  <si>
    <t>报名费</t>
  </si>
  <si>
    <t>游戏充值</t>
  </si>
  <si>
    <t>攀岩队聚餐</t>
  </si>
  <si>
    <t>老爸换手机出资</t>
  </si>
  <si>
    <t>毅行物资准备</t>
  </si>
  <si>
    <t>南京出行规划</t>
  </si>
  <si>
    <t>打车交通费</t>
  </si>
  <si>
    <t>餐饮</t>
  </si>
  <si>
    <t>话费+复印纸</t>
  </si>
  <si>
    <t>转账手续费</t>
  </si>
  <si>
    <t>买桶</t>
  </si>
  <si>
    <t>提现+粘钩+寄快递</t>
  </si>
  <si>
    <t>日用品</t>
  </si>
  <si>
    <t>宿舍锅</t>
  </si>
  <si>
    <t>水票+iCloud扩容+换货快递费</t>
  </si>
  <si>
    <t>iCloud musci 续费</t>
  </si>
  <si>
    <t>紧裤腰</t>
  </si>
  <si>
    <t>洗衣服+提现手续费</t>
  </si>
  <si>
    <t>生活用品+洗衣服</t>
  </si>
  <si>
    <t>衣帽服饰和鞋子等添置支出</t>
  </si>
  <si>
    <t>衣服+鞋子</t>
  </si>
  <si>
    <t>内衣裤袜</t>
  </si>
  <si>
    <t>冬训衣物添置</t>
  </si>
  <si>
    <t>腰带</t>
  </si>
  <si>
    <t>鞋子补偿</t>
  </si>
  <si>
    <t>文印+文具</t>
  </si>
  <si>
    <t>买电子书围城</t>
  </si>
  <si>
    <t>文具</t>
  </si>
  <si>
    <t>文印办卡</t>
  </si>
  <si>
    <t>补卡</t>
  </si>
  <si>
    <t>本月现金流来源：</t>
  </si>
  <si>
    <t>老妈给的生活费</t>
  </si>
  <si>
    <t>老妈给的衣物补助金</t>
  </si>
  <si>
    <t>老妈给的资金周转资金</t>
  </si>
  <si>
    <t>日期：</t>
  </si>
  <si>
    <t>/</t>
  </si>
  <si>
    <t>金额：</t>
  </si>
  <si>
    <t>本月结余：</t>
  </si>
  <si>
    <t>本月消费中：冬训出行迪卡侬衣物准备：1093.9由小金库中农金卡承担。另外老妈给了一千元购买冬季衣物。</t>
  </si>
  <si>
    <t>平均</t>
  </si>
  <si>
    <t>2019年</t>
  </si>
  <si>
    <t>交通出行</t>
  </si>
  <si>
    <t>兼职记录</t>
  </si>
  <si>
    <t>2019-04</t>
  </si>
  <si>
    <t>2019-05至06</t>
  </si>
  <si>
    <t>家庭支出</t>
  </si>
  <si>
    <t>事件</t>
  </si>
  <si>
    <t>攀岩馆兼职</t>
  </si>
  <si>
    <t>人情往来</t>
  </si>
  <si>
    <t>发生金额</t>
  </si>
  <si>
    <t>APP付费</t>
  </si>
  <si>
    <t>休闲娱乐</t>
  </si>
  <si>
    <t>住宿支出</t>
  </si>
  <si>
    <t>2019年银行卡消费</t>
  </si>
  <si>
    <t>服饰购物</t>
  </si>
  <si>
    <t>购物+出行</t>
  </si>
  <si>
    <t>生活购物</t>
  </si>
  <si>
    <t>文体教育</t>
  </si>
  <si>
    <t>医疗健康</t>
  </si>
  <si>
    <t>寒假</t>
  </si>
  <si>
    <t>爸妈打钱</t>
  </si>
  <si>
    <t>其他收入</t>
  </si>
  <si>
    <t>银证转出</t>
  </si>
  <si>
    <t>——</t>
  </si>
  <si>
    <t>2000*12=24000+5000（学习生活物品）+5000（旅游）+5000（提升自我：报班运动）=39000</t>
  </si>
  <si>
    <t>2018年</t>
  </si>
  <si>
    <t>2018年度补助金</t>
  </si>
  <si>
    <t>兼职工资转入</t>
  </si>
  <si>
    <t>生活费转存</t>
  </si>
  <si>
    <t>国家助学金补助</t>
  </si>
  <si>
    <t>国家助学贷款</t>
  </si>
</sst>
</file>

<file path=xl/styles.xml><?xml version="1.0" encoding="utf-8"?>
<styleSheet xmlns="http://schemas.openxmlformats.org/spreadsheetml/2006/main">
  <numFmts count="8">
    <numFmt numFmtId="176" formatCode="0.00_);[Red]\(0.00\)"/>
    <numFmt numFmtId="44" formatCode="_ &quot;￥&quot;* #,##0.00_ ;_ &quot;￥&quot;* \-#,##0.00_ ;_ &quot;￥&quot;* &quot;-&quot;??_ ;_ @_ "/>
    <numFmt numFmtId="177" formatCode="0.00_ "/>
    <numFmt numFmtId="43" formatCode="_ * #,##0.00_ ;_ * \-#,##0.00_ ;_ * &quot;-&quot;??_ ;_ @_ "/>
    <numFmt numFmtId="42" formatCode="_ &quot;￥&quot;* #,##0_ ;_ &quot;￥&quot;* \-#,##0_ ;_ &quot;￥&quot;* &quot;-&quot;_ ;_ @_ "/>
    <numFmt numFmtId="178" formatCode="yyyy/m/d;@"/>
    <numFmt numFmtId="179" formatCode="yyyy&quot;年&quot;m&quot;月&quot;;@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color theme="4" tint="-0.2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/>
      </left>
      <right/>
      <top style="thin">
        <color auto="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auto="1"/>
      </bottom>
      <diagonal/>
    </border>
    <border>
      <left style="thin">
        <color theme="9"/>
      </left>
      <right style="thin">
        <color theme="9"/>
      </right>
      <top style="thin">
        <color auto="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auto="1"/>
      </top>
      <bottom style="thin">
        <color auto="1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11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25" borderId="31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12" borderId="31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31" borderId="32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0" fillId="6" borderId="26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</cellStyleXfs>
  <cellXfs count="139">
    <xf numFmtId="0" fontId="0" fillId="0" borderId="0" xfId="0">
      <alignment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7" fontId="7" fillId="0" borderId="10" xfId="0" applyNumberFormat="1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2" fontId="4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177" fontId="7" fillId="0" borderId="15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 wrapText="1"/>
    </xf>
    <xf numFmtId="176" fontId="0" fillId="0" borderId="13" xfId="0" applyNumberFormat="1" applyBorder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8" fontId="0" fillId="0" borderId="16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 wrapText="1"/>
    </xf>
    <xf numFmtId="176" fontId="0" fillId="0" borderId="20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center" vertical="center" wrapText="1"/>
    </xf>
    <xf numFmtId="176" fontId="8" fillId="0" borderId="13" xfId="0" applyNumberFormat="1" applyFont="1" applyBorder="1" applyAlignment="1">
      <alignment horizontal="center" vertical="center" wrapText="1"/>
    </xf>
    <xf numFmtId="176" fontId="5" fillId="0" borderId="22" xfId="0" applyNumberFormat="1" applyFont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top" wrapText="1"/>
    </xf>
    <xf numFmtId="176" fontId="0" fillId="0" borderId="12" xfId="0" applyNumberFormat="1" applyBorder="1" applyAlignment="1">
      <alignment horizontal="center" vertical="top" wrapText="1"/>
    </xf>
    <xf numFmtId="176" fontId="0" fillId="0" borderId="0" xfId="0" applyNumberFormat="1" applyAlignment="1">
      <alignment horizontal="center" vertical="top" wrapText="1"/>
    </xf>
    <xf numFmtId="178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left" vertical="top" wrapText="1"/>
    </xf>
    <xf numFmtId="176" fontId="0" fillId="0" borderId="9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top" wrapText="1"/>
    </xf>
    <xf numFmtId="176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0" xfId="0" applyNumberFormat="1" applyAlignment="1">
      <alignment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12" xfId="0" applyNumberFormat="1" applyBorder="1" applyAlignment="1">
      <alignment horizontal="center" vertical="top"/>
    </xf>
    <xf numFmtId="177" fontId="0" fillId="0" borderId="6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176" fontId="0" fillId="0" borderId="9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2" fontId="0" fillId="0" borderId="2" xfId="9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6" fontId="0" fillId="0" borderId="13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9" xfId="0" applyNumberForma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top"/>
    </xf>
    <xf numFmtId="176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top"/>
    </xf>
    <xf numFmtId="0" fontId="7" fillId="0" borderId="5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0" xfId="0" applyNumberFormat="1" applyAlignment="1">
      <alignment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C33"/>
  <sheetViews>
    <sheetView topLeftCell="N1" workbookViewId="0">
      <selection activeCell="B21" sqref="B21:Q29"/>
    </sheetView>
  </sheetViews>
  <sheetFormatPr defaultColWidth="9.81730769230769" defaultRowHeight="16.8"/>
  <cols>
    <col min="1" max="1" width="6" style="110" customWidth="1"/>
    <col min="2" max="2" width="81.4615384615385" style="110" customWidth="1"/>
    <col min="3" max="3" width="10.3076923076923" style="110" customWidth="1"/>
    <col min="4" max="4" width="5.69230769230769" style="110" customWidth="1"/>
    <col min="5" max="5" width="24.8461538461538" style="110" customWidth="1"/>
    <col min="6" max="6" width="7.69230769230769" style="110" customWidth="1"/>
    <col min="7" max="9" width="6.69230769230769" style="110" customWidth="1"/>
    <col min="10" max="10" width="8.15384615384615" style="110" customWidth="1"/>
    <col min="11" max="11" width="6.69230769230769" style="110" customWidth="1"/>
    <col min="12" max="12" width="20" style="110" customWidth="1"/>
    <col min="13" max="13" width="6.69230769230769" style="110" customWidth="1"/>
    <col min="14" max="14" width="16.8846153846154" style="110" customWidth="1"/>
    <col min="15" max="15" width="6.69230769230769" style="110" customWidth="1"/>
    <col min="16" max="16" width="10.3076923076923" style="110" customWidth="1"/>
    <col min="17" max="17" width="6.69230769230769" style="110" customWidth="1"/>
    <col min="18" max="18" width="20" style="110" customWidth="1"/>
    <col min="19" max="19" width="6.69230769230769" style="110" customWidth="1"/>
    <col min="20" max="20" width="22.4615384615385" style="110" customWidth="1"/>
    <col min="21" max="21" width="7.69230769230769" style="110" customWidth="1"/>
    <col min="22" max="22" width="16.8846153846154" style="110" customWidth="1"/>
    <col min="23" max="23" width="6.69230769230769" style="110" customWidth="1"/>
    <col min="24" max="24" width="24.0769230769231" style="110" customWidth="1"/>
    <col min="25" max="25" width="6.69230769230769" style="110" customWidth="1"/>
    <col min="26" max="26" width="6.69230769230769" style="51" customWidth="1"/>
    <col min="27" max="27" width="25" style="110" customWidth="1"/>
    <col min="28" max="28" width="17.6153846153846" style="110" customWidth="1"/>
    <col min="29" max="29" width="7.69230769230769" style="110" customWidth="1"/>
    <col min="30" max="30" width="57.7692307692308" style="110" customWidth="1"/>
    <col min="31" max="31" width="7.69230769230769" style="110" customWidth="1"/>
    <col min="32" max="32" width="9.38461538461539" style="110" customWidth="1"/>
    <col min="33" max="34" width="6.69230769230769" style="110" customWidth="1"/>
    <col min="35" max="35" width="6" style="110" customWidth="1"/>
    <col min="36" max="37" width="6.69230769230769" style="110" customWidth="1"/>
    <col min="38" max="38" width="49.2307692307692" style="110" customWidth="1"/>
    <col min="39" max="39" width="7.69230769230769" style="110" customWidth="1"/>
    <col min="40" max="40" width="73.3076923076923" style="110" customWidth="1"/>
    <col min="41" max="41" width="6.69230769230769" style="110" customWidth="1"/>
    <col min="42" max="42" width="18.6923076923077" style="110" customWidth="1"/>
    <col min="43" max="43" width="6.69230769230769" style="110" customWidth="1"/>
    <col min="44" max="44" width="12.7692307692308" style="110" customWidth="1"/>
    <col min="45" max="47" width="6.69230769230769" style="110" customWidth="1"/>
    <col min="48" max="48" width="16.8846153846154" style="110" customWidth="1"/>
    <col min="49" max="49" width="6.69230769230769" style="110" customWidth="1"/>
    <col min="50" max="50" width="16.8846153846154" style="110" customWidth="1"/>
    <col min="51" max="51" width="6.69230769230769" style="110" customWidth="1"/>
    <col min="52" max="52" width="3.84615384615385" style="110" customWidth="1"/>
    <col min="53" max="53" width="6.69230769230769" style="110" customWidth="1"/>
    <col min="54" max="55" width="8.88461538461539" style="110"/>
    <col min="56" max="56" width="9.66346153846154" style="110"/>
    <col min="57" max="16384" width="8.88461538461539" style="110"/>
  </cols>
  <sheetData>
    <row r="1" spans="1:55">
      <c r="A1" s="111"/>
      <c r="B1" s="112" t="s">
        <v>0</v>
      </c>
      <c r="C1" s="69" t="s">
        <v>1</v>
      </c>
      <c r="D1" s="69"/>
      <c r="E1" s="66" t="s">
        <v>2</v>
      </c>
      <c r="F1" s="123"/>
      <c r="G1" s="122" t="s">
        <v>3</v>
      </c>
      <c r="H1" s="122" t="s">
        <v>4</v>
      </c>
      <c r="I1" s="122" t="s">
        <v>5</v>
      </c>
      <c r="J1" s="66" t="s">
        <v>6</v>
      </c>
      <c r="K1" s="123"/>
      <c r="L1" s="66" t="s">
        <v>7</v>
      </c>
      <c r="M1" s="123"/>
      <c r="N1" s="66" t="s">
        <v>8</v>
      </c>
      <c r="O1" s="123"/>
      <c r="P1" s="66" t="s">
        <v>9</v>
      </c>
      <c r="Q1" s="123"/>
      <c r="R1" s="66" t="s">
        <v>10</v>
      </c>
      <c r="S1" s="123"/>
      <c r="T1" s="66" t="s">
        <v>11</v>
      </c>
      <c r="U1" s="123"/>
      <c r="V1" s="66" t="s">
        <v>12</v>
      </c>
      <c r="W1" s="123"/>
      <c r="X1" s="66" t="s">
        <v>13</v>
      </c>
      <c r="Y1" s="123"/>
      <c r="Z1" s="66" t="s">
        <v>14</v>
      </c>
      <c r="AA1" s="122" t="s">
        <v>15</v>
      </c>
      <c r="AB1" s="66" t="s">
        <v>16</v>
      </c>
      <c r="AC1" s="123"/>
      <c r="AD1" s="66" t="s">
        <v>17</v>
      </c>
      <c r="AE1" s="123"/>
      <c r="AF1" s="66" t="s">
        <v>18</v>
      </c>
      <c r="AG1" s="123"/>
      <c r="AH1" s="66" t="s">
        <v>19</v>
      </c>
      <c r="AI1" s="66" t="s">
        <v>20</v>
      </c>
      <c r="AJ1" s="123"/>
      <c r="AK1" s="66" t="s">
        <v>21</v>
      </c>
      <c r="AL1" s="66" t="s">
        <v>22</v>
      </c>
      <c r="AM1" s="123"/>
      <c r="AN1" s="66" t="s">
        <v>23</v>
      </c>
      <c r="AO1" s="123"/>
      <c r="AP1" s="66" t="s">
        <v>24</v>
      </c>
      <c r="AQ1" s="123"/>
      <c r="AR1" s="66" t="s">
        <v>25</v>
      </c>
      <c r="AS1" s="123"/>
      <c r="AT1" s="66" t="s">
        <v>26</v>
      </c>
      <c r="AU1" s="66" t="s">
        <v>27</v>
      </c>
      <c r="AV1" s="66" t="s">
        <v>28</v>
      </c>
      <c r="AW1" s="123"/>
      <c r="AX1" s="66" t="s">
        <v>29</v>
      </c>
      <c r="AY1" s="123"/>
      <c r="AZ1" s="66" t="s">
        <v>30</v>
      </c>
      <c r="BA1" s="123"/>
      <c r="BB1" s="79" t="s">
        <v>31</v>
      </c>
      <c r="BC1" s="79"/>
    </row>
    <row r="2" spans="1:55">
      <c r="A2" s="59" t="s">
        <v>32</v>
      </c>
      <c r="B2" s="113" t="s">
        <v>33</v>
      </c>
      <c r="C2" s="51"/>
      <c r="D2" s="51"/>
      <c r="E2" s="59"/>
      <c r="F2" s="86"/>
      <c r="G2" s="128"/>
      <c r="H2" s="128"/>
      <c r="I2" s="128"/>
      <c r="J2" s="59"/>
      <c r="K2" s="86">
        <v>3.8</v>
      </c>
      <c r="L2" s="59"/>
      <c r="M2" s="86"/>
      <c r="N2" s="59"/>
      <c r="O2" s="86">
        <v>13</v>
      </c>
      <c r="P2" s="59"/>
      <c r="Q2" s="86"/>
      <c r="R2" s="59"/>
      <c r="S2" s="86"/>
      <c r="T2" s="59"/>
      <c r="U2" s="86"/>
      <c r="V2" s="59"/>
      <c r="W2" s="86"/>
      <c r="X2" s="59"/>
      <c r="Y2" s="86"/>
      <c r="Z2" s="59"/>
      <c r="AA2" s="128"/>
      <c r="AB2" s="59"/>
      <c r="AC2" s="86"/>
      <c r="AD2" s="59"/>
      <c r="AE2" s="86"/>
      <c r="AF2" s="59"/>
      <c r="AG2" s="86"/>
      <c r="AH2" s="59">
        <v>12</v>
      </c>
      <c r="AI2" s="59"/>
      <c r="AJ2" s="86"/>
      <c r="AK2" s="59"/>
      <c r="AL2" s="59"/>
      <c r="AM2" s="86"/>
      <c r="AN2" s="59"/>
      <c r="AO2" s="86"/>
      <c r="AP2" s="59"/>
      <c r="AQ2" s="86"/>
      <c r="AR2" s="59"/>
      <c r="AS2" s="86"/>
      <c r="AT2" s="59"/>
      <c r="AU2" s="59"/>
      <c r="AV2" s="59"/>
      <c r="AW2" s="86"/>
      <c r="AX2" s="59"/>
      <c r="AY2" s="86"/>
      <c r="AZ2" s="59"/>
      <c r="BA2" s="86"/>
      <c r="BB2" s="79">
        <f>SUM(A2:BA5)</f>
        <v>695.1</v>
      </c>
      <c r="BC2" s="79"/>
    </row>
    <row r="3" spans="1:55">
      <c r="A3" s="59"/>
      <c r="B3" s="113" t="s">
        <v>34</v>
      </c>
      <c r="C3" s="51" t="s">
        <v>35</v>
      </c>
      <c r="D3" s="51">
        <v>0</v>
      </c>
      <c r="E3" s="59" t="s">
        <v>36</v>
      </c>
      <c r="F3" s="86">
        <v>0</v>
      </c>
      <c r="G3" s="128">
        <v>13</v>
      </c>
      <c r="H3" s="128">
        <v>13</v>
      </c>
      <c r="I3" s="128"/>
      <c r="J3" s="59"/>
      <c r="K3" s="86">
        <v>13</v>
      </c>
      <c r="L3" s="59"/>
      <c r="M3" s="86">
        <v>13</v>
      </c>
      <c r="N3" s="59"/>
      <c r="O3" s="86">
        <v>12</v>
      </c>
      <c r="P3" s="59" t="s">
        <v>37</v>
      </c>
      <c r="Q3" s="86"/>
      <c r="R3" s="59"/>
      <c r="S3" s="86">
        <v>13</v>
      </c>
      <c r="T3" s="59"/>
      <c r="U3" s="86">
        <v>15</v>
      </c>
      <c r="V3" s="59"/>
      <c r="W3" s="86">
        <v>15</v>
      </c>
      <c r="X3" s="59"/>
      <c r="Y3" s="86">
        <v>15</v>
      </c>
      <c r="Z3" s="59">
        <v>9</v>
      </c>
      <c r="AA3" s="128">
        <v>12</v>
      </c>
      <c r="AB3" s="59"/>
      <c r="AC3" s="86"/>
      <c r="AD3" s="59"/>
      <c r="AE3" s="86">
        <v>13</v>
      </c>
      <c r="AF3" s="59"/>
      <c r="AG3" s="86">
        <v>30.8</v>
      </c>
      <c r="AH3" s="59">
        <v>13</v>
      </c>
      <c r="AI3" s="59"/>
      <c r="AJ3" s="86">
        <v>13</v>
      </c>
      <c r="AK3" s="59">
        <v>13</v>
      </c>
      <c r="AL3" s="59"/>
      <c r="AM3" s="86">
        <v>10</v>
      </c>
      <c r="AN3" s="59"/>
      <c r="AO3" s="86">
        <v>10</v>
      </c>
      <c r="AP3" s="59"/>
      <c r="AQ3" s="86">
        <v>10</v>
      </c>
      <c r="AR3" s="59"/>
      <c r="AS3" s="86">
        <v>11</v>
      </c>
      <c r="AT3" s="59">
        <v>13</v>
      </c>
      <c r="AU3" s="59">
        <v>13</v>
      </c>
      <c r="AV3" s="59"/>
      <c r="AW3" s="86">
        <v>11</v>
      </c>
      <c r="AX3" s="59"/>
      <c r="AY3" s="86">
        <v>14</v>
      </c>
      <c r="AZ3" s="59"/>
      <c r="BA3" s="86">
        <v>15</v>
      </c>
      <c r="BB3" s="79"/>
      <c r="BC3" s="79"/>
    </row>
    <row r="4" spans="1:55">
      <c r="A4" s="59"/>
      <c r="B4" s="113" t="s">
        <v>38</v>
      </c>
      <c r="C4" s="51"/>
      <c r="D4" s="51"/>
      <c r="E4" s="59"/>
      <c r="F4" s="86">
        <v>7.5</v>
      </c>
      <c r="G4" s="128">
        <v>10</v>
      </c>
      <c r="H4" s="128"/>
      <c r="I4" s="128">
        <v>26</v>
      </c>
      <c r="J4" s="59"/>
      <c r="K4" s="86"/>
      <c r="L4" s="59"/>
      <c r="M4" s="51">
        <v>8</v>
      </c>
      <c r="N4" s="59"/>
      <c r="O4" s="86"/>
      <c r="P4" s="51" t="s">
        <v>37</v>
      </c>
      <c r="Q4" s="86"/>
      <c r="R4" s="59" t="s">
        <v>39</v>
      </c>
      <c r="S4" s="86"/>
      <c r="T4" s="59"/>
      <c r="U4" s="86">
        <v>19</v>
      </c>
      <c r="V4" s="59"/>
      <c r="W4" s="86">
        <v>15</v>
      </c>
      <c r="X4" s="59"/>
      <c r="Y4" s="86">
        <v>10</v>
      </c>
      <c r="Z4" s="59">
        <v>11</v>
      </c>
      <c r="AA4" s="128">
        <v>29</v>
      </c>
      <c r="AB4" s="59"/>
      <c r="AC4" s="86">
        <v>8.5</v>
      </c>
      <c r="AD4" s="59"/>
      <c r="AE4" s="86">
        <v>17</v>
      </c>
      <c r="AF4" s="59"/>
      <c r="AG4" s="86">
        <v>9</v>
      </c>
      <c r="AH4" s="59">
        <v>9</v>
      </c>
      <c r="AI4" s="59"/>
      <c r="AJ4" s="86">
        <v>9</v>
      </c>
      <c r="AK4" s="59">
        <v>9</v>
      </c>
      <c r="AL4" s="59"/>
      <c r="AM4" s="86">
        <v>12</v>
      </c>
      <c r="AN4" s="59"/>
      <c r="AO4" s="86">
        <v>11</v>
      </c>
      <c r="AP4" s="59"/>
      <c r="AQ4" s="86">
        <v>11.5</v>
      </c>
      <c r="AR4" s="59"/>
      <c r="AS4" s="86">
        <v>13</v>
      </c>
      <c r="AT4" s="59">
        <v>13.5</v>
      </c>
      <c r="AU4" s="59">
        <v>11.5</v>
      </c>
      <c r="AV4" s="59"/>
      <c r="AW4" s="86">
        <v>13.5</v>
      </c>
      <c r="AX4" s="59"/>
      <c r="AY4" s="86">
        <v>13.5</v>
      </c>
      <c r="AZ4" s="59"/>
      <c r="BA4" s="86">
        <v>24.5</v>
      </c>
      <c r="BB4" s="79"/>
      <c r="BC4" s="79"/>
    </row>
    <row r="5" spans="1:55">
      <c r="A5" s="62"/>
      <c r="B5" s="114" t="s">
        <v>40</v>
      </c>
      <c r="C5" s="65"/>
      <c r="D5" s="65"/>
      <c r="E5" s="62"/>
      <c r="F5" s="87"/>
      <c r="G5" s="129"/>
      <c r="H5" s="129"/>
      <c r="I5" s="129"/>
      <c r="J5" s="62"/>
      <c r="K5" s="87"/>
      <c r="L5" s="62"/>
      <c r="M5" s="87"/>
      <c r="N5" s="62"/>
      <c r="O5" s="87"/>
      <c r="P5" s="62"/>
      <c r="Q5" s="87"/>
      <c r="R5" s="62"/>
      <c r="S5" s="87"/>
      <c r="T5" s="62"/>
      <c r="U5" s="87"/>
      <c r="V5" s="62"/>
      <c r="W5" s="87"/>
      <c r="X5" s="62"/>
      <c r="Y5" s="87"/>
      <c r="Z5" s="62"/>
      <c r="AA5" s="129"/>
      <c r="AB5" s="62"/>
      <c r="AC5" s="87"/>
      <c r="AD5" s="62"/>
      <c r="AE5" s="87"/>
      <c r="AF5" s="62"/>
      <c r="AG5" s="87"/>
      <c r="AH5" s="62"/>
      <c r="AI5" s="62"/>
      <c r="AJ5" s="87"/>
      <c r="AK5" s="62"/>
      <c r="AL5" s="62"/>
      <c r="AM5" s="87"/>
      <c r="AN5" s="62"/>
      <c r="AO5" s="87"/>
      <c r="AP5" s="62"/>
      <c r="AQ5" s="87"/>
      <c r="AR5" s="62"/>
      <c r="AS5" s="87"/>
      <c r="AT5" s="62"/>
      <c r="AU5" s="62"/>
      <c r="AV5" s="62"/>
      <c r="AW5" s="87"/>
      <c r="AX5" s="62"/>
      <c r="AY5" s="87"/>
      <c r="AZ5" s="62" t="s">
        <v>41</v>
      </c>
      <c r="BA5" s="87">
        <v>12.5</v>
      </c>
      <c r="BB5" s="79"/>
      <c r="BC5" s="79"/>
    </row>
    <row r="6" spans="1:55">
      <c r="A6" s="66" t="s">
        <v>42</v>
      </c>
      <c r="B6" s="112" t="s">
        <v>43</v>
      </c>
      <c r="C6" s="69"/>
      <c r="D6" s="69"/>
      <c r="E6" s="66" t="s">
        <v>44</v>
      </c>
      <c r="F6" s="123">
        <f>37+50.5</f>
        <v>87.5</v>
      </c>
      <c r="G6" s="122"/>
      <c r="H6" s="122"/>
      <c r="I6" s="122"/>
      <c r="J6" s="66"/>
      <c r="K6" s="123"/>
      <c r="L6" s="66"/>
      <c r="M6" s="123"/>
      <c r="N6" s="66"/>
      <c r="O6" s="123"/>
      <c r="P6" s="66"/>
      <c r="Q6" s="123"/>
      <c r="R6" s="66"/>
      <c r="S6" s="123"/>
      <c r="T6" s="66"/>
      <c r="U6" s="123"/>
      <c r="V6" s="66"/>
      <c r="W6" s="123"/>
      <c r="X6" s="66"/>
      <c r="Y6" s="123"/>
      <c r="Z6" s="66"/>
      <c r="AA6" s="122"/>
      <c r="AB6" s="66"/>
      <c r="AC6" s="123"/>
      <c r="AD6" s="66"/>
      <c r="AE6" s="123"/>
      <c r="AF6" s="66"/>
      <c r="AG6" s="123"/>
      <c r="AH6" s="66"/>
      <c r="AI6" s="66"/>
      <c r="AJ6" s="123"/>
      <c r="AK6" s="66"/>
      <c r="AL6" s="66"/>
      <c r="AM6" s="123"/>
      <c r="AN6" s="66"/>
      <c r="AO6" s="123"/>
      <c r="AP6" s="66"/>
      <c r="AQ6" s="123"/>
      <c r="AR6" s="66"/>
      <c r="AS6" s="123"/>
      <c r="AT6" s="66"/>
      <c r="AU6" s="66"/>
      <c r="AV6" s="66"/>
      <c r="AW6" s="123"/>
      <c r="AX6" s="66"/>
      <c r="AY6" s="123"/>
      <c r="AZ6" s="66"/>
      <c r="BA6" s="123"/>
      <c r="BB6" s="79">
        <f t="shared" ref="BB6:BB10" si="0">SUM(C6:BA6)</f>
        <v>87.5</v>
      </c>
      <c r="BC6" s="79"/>
    </row>
    <row r="7" spans="1:55">
      <c r="A7" s="59"/>
      <c r="B7" s="115" t="s">
        <v>45</v>
      </c>
      <c r="C7" s="51"/>
      <c r="D7" s="51"/>
      <c r="E7" s="59"/>
      <c r="F7" s="86"/>
      <c r="G7" s="128"/>
      <c r="H7" s="128"/>
      <c r="I7" s="128"/>
      <c r="J7" s="59"/>
      <c r="K7" s="86"/>
      <c r="L7" s="59"/>
      <c r="M7" s="86"/>
      <c r="N7" s="59"/>
      <c r="O7" s="86"/>
      <c r="P7" s="59" t="s">
        <v>37</v>
      </c>
      <c r="Q7" s="86">
        <v>99</v>
      </c>
      <c r="R7" s="59"/>
      <c r="S7" s="86"/>
      <c r="T7" s="59"/>
      <c r="U7" s="86"/>
      <c r="V7" s="59"/>
      <c r="W7" s="86"/>
      <c r="X7" s="59"/>
      <c r="Y7" s="86"/>
      <c r="Z7" s="59"/>
      <c r="AA7" s="128"/>
      <c r="AC7" s="86"/>
      <c r="AD7" s="132"/>
      <c r="AE7" s="133"/>
      <c r="AH7" s="59"/>
      <c r="AI7" s="136"/>
      <c r="AJ7" s="137"/>
      <c r="AK7" s="51"/>
      <c r="AL7" s="136"/>
      <c r="AM7" s="137"/>
      <c r="AP7" s="136"/>
      <c r="AR7" s="59"/>
      <c r="AS7" s="86"/>
      <c r="AT7" s="59"/>
      <c r="AU7" s="59"/>
      <c r="AV7" s="59"/>
      <c r="AW7" s="86"/>
      <c r="AX7" s="59"/>
      <c r="AY7" s="86"/>
      <c r="AZ7" s="59"/>
      <c r="BA7" s="86"/>
      <c r="BB7" s="79">
        <f t="shared" si="0"/>
        <v>99</v>
      </c>
      <c r="BC7" s="79"/>
    </row>
    <row r="8" spans="1:55">
      <c r="A8" s="59"/>
      <c r="B8" s="116" t="s">
        <v>46</v>
      </c>
      <c r="C8" s="51"/>
      <c r="D8" s="51"/>
      <c r="E8" s="59"/>
      <c r="F8" s="86"/>
      <c r="G8" s="128"/>
      <c r="H8" s="128"/>
      <c r="I8" s="128"/>
      <c r="J8" s="59"/>
      <c r="K8" s="86"/>
      <c r="L8" s="59"/>
      <c r="M8" s="86"/>
      <c r="N8" s="59"/>
      <c r="O8" s="86"/>
      <c r="P8" s="59"/>
      <c r="Q8" s="86"/>
      <c r="R8" s="59"/>
      <c r="S8" s="86"/>
      <c r="T8" s="59"/>
      <c r="U8" s="86"/>
      <c r="V8" s="59"/>
      <c r="W8" s="86"/>
      <c r="X8" s="59"/>
      <c r="Y8" s="86"/>
      <c r="Z8" s="59"/>
      <c r="AA8" s="128"/>
      <c r="AB8" s="59"/>
      <c r="AC8" s="86"/>
      <c r="AD8" s="132"/>
      <c r="AE8" s="133"/>
      <c r="AF8" s="59"/>
      <c r="AG8" s="86"/>
      <c r="AH8" s="59"/>
      <c r="AI8" s="59"/>
      <c r="AJ8" s="86"/>
      <c r="AK8" s="59"/>
      <c r="AL8" s="132"/>
      <c r="AM8" s="133"/>
      <c r="AN8" s="132"/>
      <c r="AO8" s="133"/>
      <c r="AP8" s="59" t="s">
        <v>47</v>
      </c>
      <c r="AQ8" s="86">
        <v>35</v>
      </c>
      <c r="AR8" s="59"/>
      <c r="AS8" s="86"/>
      <c r="AT8" s="59"/>
      <c r="AU8" s="59"/>
      <c r="AV8" s="59"/>
      <c r="AW8" s="86"/>
      <c r="AX8" s="59"/>
      <c r="AY8" s="86"/>
      <c r="AZ8" s="59"/>
      <c r="BA8" s="86"/>
      <c r="BB8" s="79">
        <f t="shared" si="0"/>
        <v>35</v>
      </c>
      <c r="BC8" s="79"/>
    </row>
    <row r="9" spans="1:55">
      <c r="A9" s="59"/>
      <c r="B9" s="116" t="s">
        <v>48</v>
      </c>
      <c r="C9" s="51"/>
      <c r="D9" s="51"/>
      <c r="E9" s="59"/>
      <c r="F9" s="86"/>
      <c r="G9" s="128"/>
      <c r="H9" s="128"/>
      <c r="I9" s="128"/>
      <c r="J9" s="59"/>
      <c r="K9" s="86"/>
      <c r="L9" s="59"/>
      <c r="M9" s="86"/>
      <c r="N9" s="59"/>
      <c r="O9" s="86"/>
      <c r="P9" s="59"/>
      <c r="Q9" s="86"/>
      <c r="R9" s="59"/>
      <c r="S9" s="86"/>
      <c r="T9" s="59"/>
      <c r="U9" s="86"/>
      <c r="V9" s="59"/>
      <c r="W9" s="86"/>
      <c r="X9" s="59"/>
      <c r="Y9" s="86"/>
      <c r="Z9" s="59"/>
      <c r="AA9" s="128"/>
      <c r="AB9" s="59"/>
      <c r="AC9" s="86"/>
      <c r="AD9" s="132"/>
      <c r="AE9" s="133"/>
      <c r="AF9" s="59"/>
      <c r="AG9" s="86"/>
      <c r="AH9" s="59"/>
      <c r="AI9" s="59"/>
      <c r="AJ9" s="86"/>
      <c r="AK9" s="59"/>
      <c r="AL9" s="132"/>
      <c r="AM9" s="133"/>
      <c r="AN9" s="132"/>
      <c r="AO9" s="133"/>
      <c r="AP9" s="59"/>
      <c r="AQ9" s="86"/>
      <c r="AR9" s="59"/>
      <c r="AS9" s="86"/>
      <c r="AT9" s="59"/>
      <c r="AU9" s="59"/>
      <c r="AV9" s="59"/>
      <c r="AW9" s="86"/>
      <c r="AX9" s="59"/>
      <c r="AY9" s="86"/>
      <c r="AZ9" s="59"/>
      <c r="BA9" s="86"/>
      <c r="BB9" s="79">
        <f t="shared" si="0"/>
        <v>0</v>
      </c>
      <c r="BC9" s="79"/>
    </row>
    <row r="10" spans="1:55">
      <c r="A10" s="59"/>
      <c r="B10" s="116" t="s">
        <v>49</v>
      </c>
      <c r="C10" s="51"/>
      <c r="D10" s="51"/>
      <c r="E10" s="59"/>
      <c r="F10" s="86"/>
      <c r="G10" s="128"/>
      <c r="H10" s="128"/>
      <c r="I10" s="128"/>
      <c r="J10" s="59"/>
      <c r="K10" s="86"/>
      <c r="L10" s="59"/>
      <c r="M10" s="86"/>
      <c r="N10" s="59"/>
      <c r="O10" s="86"/>
      <c r="P10" s="59"/>
      <c r="Q10" s="86"/>
      <c r="R10" s="59"/>
      <c r="S10" s="86"/>
      <c r="T10" s="59"/>
      <c r="U10" s="86"/>
      <c r="V10" s="59"/>
      <c r="W10" s="86"/>
      <c r="X10" s="59"/>
      <c r="Y10" s="86"/>
      <c r="Z10" s="59"/>
      <c r="AA10" s="128"/>
      <c r="AB10" s="59" t="s">
        <v>50</v>
      </c>
      <c r="AC10" s="86">
        <f>35.28/2</f>
        <v>17.64</v>
      </c>
      <c r="AD10" s="59"/>
      <c r="AE10" s="86"/>
      <c r="AF10" s="59"/>
      <c r="AG10" s="86"/>
      <c r="AH10" s="59"/>
      <c r="AI10" s="59"/>
      <c r="AJ10" s="86"/>
      <c r="AK10" s="59"/>
      <c r="AL10" s="59"/>
      <c r="AM10" s="86"/>
      <c r="AN10" s="59"/>
      <c r="AO10" s="86"/>
      <c r="AP10" s="59"/>
      <c r="AQ10" s="86"/>
      <c r="AR10" s="59" t="s">
        <v>51</v>
      </c>
      <c r="AS10" s="86">
        <v>66.1</v>
      </c>
      <c r="AT10" s="59"/>
      <c r="AU10" s="59"/>
      <c r="AV10" s="59"/>
      <c r="AW10" s="86"/>
      <c r="AX10" s="59"/>
      <c r="AY10" s="86"/>
      <c r="AZ10" s="59"/>
      <c r="BA10" s="86"/>
      <c r="BB10" s="79">
        <f t="shared" si="0"/>
        <v>83.74</v>
      </c>
      <c r="BC10" s="79"/>
    </row>
    <row r="11" spans="1:55">
      <c r="A11" s="59"/>
      <c r="B11" s="117" t="s">
        <v>31</v>
      </c>
      <c r="C11" s="51"/>
      <c r="D11" s="51"/>
      <c r="E11" s="59"/>
      <c r="F11" s="86"/>
      <c r="G11" s="128"/>
      <c r="H11" s="128"/>
      <c r="I11" s="128"/>
      <c r="J11" s="59"/>
      <c r="K11" s="86"/>
      <c r="L11" s="59"/>
      <c r="M11" s="86"/>
      <c r="N11" s="59"/>
      <c r="O11" s="86"/>
      <c r="P11" s="59"/>
      <c r="Q11" s="86"/>
      <c r="R11" s="59"/>
      <c r="S11" s="86"/>
      <c r="T11" s="59"/>
      <c r="U11" s="86"/>
      <c r="V11" s="59"/>
      <c r="W11" s="86"/>
      <c r="X11" s="59"/>
      <c r="Y11" s="86"/>
      <c r="Z11" s="59"/>
      <c r="AA11" s="128"/>
      <c r="AB11" s="59"/>
      <c r="AC11" s="86"/>
      <c r="AD11" s="59"/>
      <c r="AE11" s="86"/>
      <c r="AF11" s="59"/>
      <c r="AG11" s="86"/>
      <c r="AH11" s="59"/>
      <c r="AI11" s="59"/>
      <c r="AJ11" s="86"/>
      <c r="AK11" s="59"/>
      <c r="AL11" s="59"/>
      <c r="AM11" s="86"/>
      <c r="AN11" s="59"/>
      <c r="AO11" s="86"/>
      <c r="AP11" s="59"/>
      <c r="AQ11" s="86"/>
      <c r="AR11" s="59"/>
      <c r="AS11" s="86"/>
      <c r="AT11" s="59"/>
      <c r="AU11" s="59"/>
      <c r="AV11" s="59"/>
      <c r="AW11" s="86"/>
      <c r="AX11" s="59"/>
      <c r="AY11" s="86"/>
      <c r="AZ11" s="59"/>
      <c r="BA11" s="86"/>
      <c r="BB11" s="79">
        <f>SUM(BB6:BC10)</f>
        <v>305.24</v>
      </c>
      <c r="BC11" s="79"/>
    </row>
    <row r="12" s="109" customFormat="1" spans="1:55">
      <c r="A12" s="72" t="s">
        <v>52</v>
      </c>
      <c r="B12" s="118" t="s">
        <v>53</v>
      </c>
      <c r="C12" s="50" t="s">
        <v>54</v>
      </c>
      <c r="D12" s="50">
        <v>1.5</v>
      </c>
      <c r="E12" s="72"/>
      <c r="F12" s="78"/>
      <c r="G12" s="79"/>
      <c r="H12" s="79"/>
      <c r="I12" s="79"/>
      <c r="J12" s="72" t="s">
        <v>55</v>
      </c>
      <c r="K12" s="78">
        <v>2.42</v>
      </c>
      <c r="L12" s="72"/>
      <c r="M12" s="78"/>
      <c r="N12" s="72"/>
      <c r="O12" s="78"/>
      <c r="P12" s="72"/>
      <c r="Q12" s="78"/>
      <c r="R12" s="72"/>
      <c r="S12" s="78"/>
      <c r="T12" s="72" t="s">
        <v>54</v>
      </c>
      <c r="U12" s="78">
        <v>3.6</v>
      </c>
      <c r="V12" s="72"/>
      <c r="W12" s="78"/>
      <c r="X12" s="72" t="s">
        <v>56</v>
      </c>
      <c r="Y12" s="78">
        <f>10+3</f>
        <v>13</v>
      </c>
      <c r="Z12" s="72"/>
      <c r="AA12" s="79"/>
      <c r="AB12" s="66" t="s">
        <v>57</v>
      </c>
      <c r="AC12" s="78">
        <v>6</v>
      </c>
      <c r="AD12" s="72"/>
      <c r="AE12" s="78"/>
      <c r="AF12" s="66" t="s">
        <v>58</v>
      </c>
      <c r="AG12" s="123">
        <v>3.81</v>
      </c>
      <c r="AH12" s="72"/>
      <c r="AI12" s="72"/>
      <c r="AJ12" s="78"/>
      <c r="AK12" s="72"/>
      <c r="AL12" s="72"/>
      <c r="AM12" s="78"/>
      <c r="AN12" s="72" t="s">
        <v>59</v>
      </c>
      <c r="AO12" s="78">
        <v>24.41</v>
      </c>
      <c r="AP12" s="72"/>
      <c r="AQ12" s="78"/>
      <c r="AR12" s="72"/>
      <c r="AS12" s="78"/>
      <c r="AT12" s="72"/>
      <c r="AU12" s="72"/>
      <c r="AV12" s="72"/>
      <c r="AW12" s="78"/>
      <c r="AX12" s="72"/>
      <c r="AY12" s="78"/>
      <c r="AZ12" s="72"/>
      <c r="BA12" s="78"/>
      <c r="BB12" s="79">
        <f t="shared" ref="BB12:BB19" si="1">SUM(C12:BA12)</f>
        <v>54.74</v>
      </c>
      <c r="BC12" s="79"/>
    </row>
    <row r="13" s="109" customFormat="1" spans="1:55">
      <c r="A13" s="72" t="s">
        <v>60</v>
      </c>
      <c r="B13" s="118" t="s">
        <v>61</v>
      </c>
      <c r="C13" s="50"/>
      <c r="D13" s="50"/>
      <c r="E13" s="72"/>
      <c r="F13" s="78"/>
      <c r="G13" s="79"/>
      <c r="H13" s="79"/>
      <c r="I13" s="79"/>
      <c r="J13" s="72"/>
      <c r="K13" s="78"/>
      <c r="L13" s="72"/>
      <c r="M13" s="78"/>
      <c r="N13" s="72"/>
      <c r="O13" s="78"/>
      <c r="P13" s="72"/>
      <c r="Q13" s="78"/>
      <c r="R13" s="72"/>
      <c r="S13" s="78"/>
      <c r="T13" s="72"/>
      <c r="U13" s="78"/>
      <c r="V13" s="72"/>
      <c r="W13" s="78"/>
      <c r="X13" s="72"/>
      <c r="Y13" s="78"/>
      <c r="Z13" s="72"/>
      <c r="AA13" s="79"/>
      <c r="AB13" s="72"/>
      <c r="AC13" s="78"/>
      <c r="AD13" s="72"/>
      <c r="AE13" s="78"/>
      <c r="AF13" s="72"/>
      <c r="AG13" s="78"/>
      <c r="AH13" s="72"/>
      <c r="AI13" s="72"/>
      <c r="AJ13" s="78"/>
      <c r="AK13" s="72"/>
      <c r="AL13" s="72"/>
      <c r="AM13" s="78"/>
      <c r="AN13" s="72"/>
      <c r="AO13" s="78"/>
      <c r="AP13" s="72"/>
      <c r="AQ13" s="78"/>
      <c r="AR13" s="72"/>
      <c r="AS13" s="78"/>
      <c r="AT13" s="72"/>
      <c r="AU13" s="72"/>
      <c r="AV13" s="72"/>
      <c r="AW13" s="78"/>
      <c r="AX13" s="72"/>
      <c r="AY13" s="78"/>
      <c r="AZ13" s="72"/>
      <c r="BA13" s="78"/>
      <c r="BB13" s="79">
        <f t="shared" si="1"/>
        <v>0</v>
      </c>
      <c r="BC13" s="79"/>
    </row>
    <row r="14" s="109" customFormat="1" spans="1:55">
      <c r="A14" s="72" t="s">
        <v>62</v>
      </c>
      <c r="B14" s="118" t="s">
        <v>63</v>
      </c>
      <c r="C14" s="50"/>
      <c r="D14" s="50"/>
      <c r="E14" s="72"/>
      <c r="F14" s="78"/>
      <c r="G14" s="79"/>
      <c r="H14" s="79"/>
      <c r="I14" s="79"/>
      <c r="J14" s="72"/>
      <c r="K14" s="78"/>
      <c r="L14" s="72"/>
      <c r="M14" s="78"/>
      <c r="N14" s="72"/>
      <c r="O14" s="78"/>
      <c r="P14" s="72"/>
      <c r="Q14" s="78"/>
      <c r="R14" s="72"/>
      <c r="S14" s="78"/>
      <c r="T14" s="72"/>
      <c r="U14" s="78"/>
      <c r="V14" s="72"/>
      <c r="W14" s="78"/>
      <c r="X14" s="72"/>
      <c r="Y14" s="78"/>
      <c r="Z14" s="72"/>
      <c r="AA14" s="79">
        <v>77.42</v>
      </c>
      <c r="AB14" s="72"/>
      <c r="AC14" s="78"/>
      <c r="AD14" s="72"/>
      <c r="AE14" s="78"/>
      <c r="AF14" s="72"/>
      <c r="AG14" s="78"/>
      <c r="AH14" s="72"/>
      <c r="AI14" s="72"/>
      <c r="AJ14" s="78"/>
      <c r="AK14" s="72"/>
      <c r="AL14" s="72"/>
      <c r="AM14" s="78"/>
      <c r="AN14" s="72"/>
      <c r="AO14" s="78"/>
      <c r="AP14" s="72"/>
      <c r="AQ14" s="78"/>
      <c r="AR14" s="72"/>
      <c r="AS14" s="78"/>
      <c r="AT14" s="72"/>
      <c r="AU14" s="72"/>
      <c r="AV14" s="72"/>
      <c r="AW14" s="78"/>
      <c r="AX14" s="72"/>
      <c r="AY14" s="78"/>
      <c r="AZ14" s="72"/>
      <c r="BA14" s="78"/>
      <c r="BB14" s="79">
        <f t="shared" si="1"/>
        <v>77.42</v>
      </c>
      <c r="BC14" s="79"/>
    </row>
    <row r="15" s="109" customFormat="1" spans="1:55">
      <c r="A15" s="72" t="s">
        <v>64</v>
      </c>
      <c r="B15" s="118" t="s">
        <v>65</v>
      </c>
      <c r="C15" s="50"/>
      <c r="D15" s="50"/>
      <c r="E15" s="72"/>
      <c r="F15" s="78"/>
      <c r="G15" s="79"/>
      <c r="H15" s="79"/>
      <c r="I15" s="79"/>
      <c r="J15" s="72"/>
      <c r="K15" s="78"/>
      <c r="L15" s="72" t="s">
        <v>66</v>
      </c>
      <c r="M15" s="78">
        <v>19.8</v>
      </c>
      <c r="N15" s="72"/>
      <c r="O15" s="78"/>
      <c r="P15" s="72"/>
      <c r="Q15" s="78"/>
      <c r="R15" s="72"/>
      <c r="S15" s="78"/>
      <c r="T15" s="72"/>
      <c r="U15" s="78"/>
      <c r="V15" s="72"/>
      <c r="W15" s="78"/>
      <c r="X15" s="72" t="s">
        <v>67</v>
      </c>
      <c r="Y15" s="78">
        <v>20</v>
      </c>
      <c r="Z15" s="72"/>
      <c r="AA15" s="79"/>
      <c r="AB15" s="72" t="s">
        <v>50</v>
      </c>
      <c r="AC15" s="86">
        <f>35.28/2</f>
        <v>17.64</v>
      </c>
      <c r="AD15" s="72"/>
      <c r="AE15" s="78"/>
      <c r="AF15" s="72"/>
      <c r="AG15" s="78"/>
      <c r="AH15" s="72"/>
      <c r="AI15" s="66" t="s">
        <v>68</v>
      </c>
      <c r="AJ15" s="123">
        <v>0.15</v>
      </c>
      <c r="AK15" s="72"/>
      <c r="AL15" s="72"/>
      <c r="AM15" s="78"/>
      <c r="AN15" s="72"/>
      <c r="AO15" s="78"/>
      <c r="AP15" s="72"/>
      <c r="AQ15" s="78"/>
      <c r="AR15" s="72"/>
      <c r="AS15" s="78"/>
      <c r="AT15" s="72"/>
      <c r="AU15" s="72"/>
      <c r="AV15" s="72"/>
      <c r="AW15" s="78"/>
      <c r="AX15" s="72"/>
      <c r="AY15" s="78"/>
      <c r="AZ15" s="72"/>
      <c r="BA15" s="78"/>
      <c r="BB15" s="79">
        <f t="shared" si="1"/>
        <v>57.59</v>
      </c>
      <c r="BC15" s="79"/>
    </row>
    <row r="16" s="109" customFormat="1" spans="1:55">
      <c r="A16" s="72" t="s">
        <v>69</v>
      </c>
      <c r="B16" s="119" t="s">
        <v>70</v>
      </c>
      <c r="C16" s="120"/>
      <c r="D16" s="50"/>
      <c r="E16" s="72"/>
      <c r="F16" s="78"/>
      <c r="G16" s="79"/>
      <c r="H16" s="79"/>
      <c r="I16" s="79"/>
      <c r="J16" s="72"/>
      <c r="K16" s="78"/>
      <c r="L16" s="72"/>
      <c r="M16" s="78"/>
      <c r="P16" s="72"/>
      <c r="Q16" s="78"/>
      <c r="R16" s="72"/>
      <c r="S16" s="78"/>
      <c r="T16" s="72"/>
      <c r="U16" s="78"/>
      <c r="V16" s="72"/>
      <c r="W16" s="78"/>
      <c r="X16" s="72"/>
      <c r="Y16" s="78"/>
      <c r="Z16" s="72"/>
      <c r="AA16" s="79"/>
      <c r="AB16" s="72"/>
      <c r="AC16" s="78"/>
      <c r="AD16" s="72"/>
      <c r="AE16" s="78"/>
      <c r="AF16" s="72"/>
      <c r="AG16" s="78"/>
      <c r="AH16" s="72"/>
      <c r="AI16" s="72"/>
      <c r="AJ16" s="78"/>
      <c r="AK16" s="72"/>
      <c r="AL16" s="72"/>
      <c r="AM16" s="78"/>
      <c r="AN16" s="72"/>
      <c r="AO16" s="78"/>
      <c r="AP16" s="72"/>
      <c r="AQ16" s="78"/>
      <c r="AR16" s="72"/>
      <c r="AS16" s="78"/>
      <c r="AT16" s="72"/>
      <c r="AU16" s="72"/>
      <c r="AV16" s="72"/>
      <c r="AW16" s="78"/>
      <c r="AX16" s="72"/>
      <c r="AY16" s="78"/>
      <c r="AZ16" s="72"/>
      <c r="BA16" s="78"/>
      <c r="BB16" s="79">
        <f t="shared" si="1"/>
        <v>0</v>
      </c>
      <c r="BC16" s="79"/>
    </row>
    <row r="17" spans="2:55">
      <c r="B17" s="121" t="s">
        <v>71</v>
      </c>
      <c r="C17" s="51">
        <f>SUM(D2:D16)</f>
        <v>1.5</v>
      </c>
      <c r="D17" s="51"/>
      <c r="E17" s="51">
        <f>SUM(F2:F16)</f>
        <v>95</v>
      </c>
      <c r="F17" s="51"/>
      <c r="G17" s="129">
        <f t="shared" ref="G17:I17" si="2">SUM(G2:G16)</f>
        <v>23</v>
      </c>
      <c r="H17" s="129">
        <f t="shared" si="2"/>
        <v>13</v>
      </c>
      <c r="I17" s="129">
        <f t="shared" si="2"/>
        <v>26</v>
      </c>
      <c r="J17" s="62">
        <f t="shared" ref="J17:N17" si="3">SUM(K2:K16)</f>
        <v>19.22</v>
      </c>
      <c r="K17" s="87"/>
      <c r="L17" s="62">
        <f t="shared" si="3"/>
        <v>40.8</v>
      </c>
      <c r="M17" s="87"/>
      <c r="N17" s="62">
        <f t="shared" si="3"/>
        <v>25</v>
      </c>
      <c r="O17" s="87"/>
      <c r="P17" s="62">
        <f t="shared" ref="P17:T17" si="4">SUM(Q2:Q16)</f>
        <v>99</v>
      </c>
      <c r="Q17" s="87"/>
      <c r="R17" s="62">
        <f t="shared" si="4"/>
        <v>13</v>
      </c>
      <c r="S17" s="87"/>
      <c r="T17" s="62">
        <f t="shared" si="4"/>
        <v>37.6</v>
      </c>
      <c r="U17" s="87"/>
      <c r="V17" s="62">
        <f>SUM(W2:W16)</f>
        <v>30</v>
      </c>
      <c r="W17" s="87"/>
      <c r="X17" s="62">
        <f>SUM(Y2:Y16)</f>
        <v>58</v>
      </c>
      <c r="Y17" s="87"/>
      <c r="Z17" s="62">
        <f>SUM(Z1:Z16)</f>
        <v>20</v>
      </c>
      <c r="AA17" s="129">
        <f>SUM(AA2:AA16)</f>
        <v>118.42</v>
      </c>
      <c r="AB17" s="62">
        <f t="shared" ref="AB17:AF17" si="5">SUM(AC2:AC16)</f>
        <v>49.78</v>
      </c>
      <c r="AC17" s="87"/>
      <c r="AD17" s="62">
        <f t="shared" si="5"/>
        <v>30</v>
      </c>
      <c r="AE17" s="87"/>
      <c r="AF17" s="62">
        <f t="shared" si="5"/>
        <v>43.61</v>
      </c>
      <c r="AG17" s="87"/>
      <c r="AH17" s="62">
        <f>SUM(AH2:AH16)</f>
        <v>34</v>
      </c>
      <c r="AI17" s="62">
        <f t="shared" ref="AI17:AN17" si="6">SUM(AJ2:AJ16)</f>
        <v>22.15</v>
      </c>
      <c r="AJ17" s="87"/>
      <c r="AK17" s="62">
        <f>SUM(AK2:AK16)</f>
        <v>22</v>
      </c>
      <c r="AL17" s="62">
        <f t="shared" si="6"/>
        <v>22</v>
      </c>
      <c r="AM17" s="87"/>
      <c r="AN17" s="62">
        <f t="shared" si="6"/>
        <v>45.41</v>
      </c>
      <c r="AO17" s="87"/>
      <c r="AP17" s="62">
        <f>SUM(AQ2:AQ16)</f>
        <v>56.5</v>
      </c>
      <c r="AQ17" s="87"/>
      <c r="AR17" s="62">
        <f>SUM(AS2:AS16)</f>
        <v>90.1</v>
      </c>
      <c r="AS17" s="87"/>
      <c r="AT17" s="62">
        <f>SUM(AT1:AT16)</f>
        <v>26.5</v>
      </c>
      <c r="AU17" s="62">
        <f>SUM(AU2:AU16)</f>
        <v>24.5</v>
      </c>
      <c r="AV17" s="62">
        <f t="shared" ref="AV17:AZ17" si="7">SUM(AW2:AW16)</f>
        <v>24.5</v>
      </c>
      <c r="AW17" s="87"/>
      <c r="AX17" s="62">
        <f t="shared" si="7"/>
        <v>27.5</v>
      </c>
      <c r="AY17" s="87"/>
      <c r="AZ17" s="62">
        <f t="shared" si="7"/>
        <v>52</v>
      </c>
      <c r="BA17" s="87"/>
      <c r="BB17" s="79">
        <f t="shared" si="1"/>
        <v>1190.09</v>
      </c>
      <c r="BC17" s="79"/>
    </row>
    <row r="18" s="51" customFormat="1" spans="1:55">
      <c r="A18" s="122" t="s">
        <v>72</v>
      </c>
      <c r="B18" s="66" t="s">
        <v>73</v>
      </c>
      <c r="C18" s="66"/>
      <c r="D18" s="123"/>
      <c r="E18" s="66"/>
      <c r="F18" s="123"/>
      <c r="G18" s="123"/>
      <c r="H18" s="123"/>
      <c r="I18" s="123"/>
      <c r="J18" s="123"/>
      <c r="K18" s="69"/>
      <c r="L18" s="66"/>
      <c r="M18" s="123"/>
      <c r="N18" s="66"/>
      <c r="O18" s="123"/>
      <c r="P18" s="66"/>
      <c r="Q18" s="123"/>
      <c r="R18" s="66"/>
      <c r="S18" s="123"/>
      <c r="T18" s="131" t="s">
        <v>74</v>
      </c>
      <c r="U18" s="123">
        <f>309+479</f>
        <v>788</v>
      </c>
      <c r="V18" s="66"/>
      <c r="W18" s="123"/>
      <c r="X18" s="66"/>
      <c r="Y18" s="123"/>
      <c r="Z18" s="66"/>
      <c r="AA18" s="123" t="s">
        <v>75</v>
      </c>
      <c r="AB18" s="66"/>
      <c r="AC18" s="123"/>
      <c r="AD18" s="134" t="s">
        <v>76</v>
      </c>
      <c r="AE18" s="135">
        <v>112</v>
      </c>
      <c r="AF18" s="134"/>
      <c r="AG18" s="135"/>
      <c r="AH18" s="134"/>
      <c r="AI18" s="135"/>
      <c r="AJ18" s="134"/>
      <c r="AK18" s="135"/>
      <c r="AL18" s="134" t="s">
        <v>77</v>
      </c>
      <c r="AM18" s="135">
        <v>193.51</v>
      </c>
      <c r="AN18" s="134" t="s">
        <v>78</v>
      </c>
      <c r="AO18" s="135">
        <f>82.86</f>
        <v>82.86</v>
      </c>
      <c r="AP18" s="66"/>
      <c r="AQ18" s="123"/>
      <c r="AR18" s="66"/>
      <c r="AS18" s="123"/>
      <c r="AT18" s="66"/>
      <c r="AU18" s="123"/>
      <c r="AV18" s="66"/>
      <c r="AW18" s="123"/>
      <c r="AX18" s="66"/>
      <c r="AY18" s="123"/>
      <c r="AZ18" s="66"/>
      <c r="BA18" s="123"/>
      <c r="BB18" s="122">
        <f t="shared" si="1"/>
        <v>1176.37</v>
      </c>
      <c r="BC18" s="122"/>
    </row>
    <row r="19" s="50" customFormat="1" spans="1:55">
      <c r="A19" s="79" t="s">
        <v>72</v>
      </c>
      <c r="B19" s="79" t="s">
        <v>79</v>
      </c>
      <c r="C19" s="124"/>
      <c r="D19" s="100"/>
      <c r="E19" s="124" t="s">
        <v>36</v>
      </c>
      <c r="F19" s="100">
        <v>240</v>
      </c>
      <c r="G19" s="130"/>
      <c r="H19" s="100"/>
      <c r="I19" s="100"/>
      <c r="J19" s="100"/>
      <c r="K19" s="100"/>
      <c r="L19" s="72"/>
      <c r="M19" s="78"/>
      <c r="N19" s="72"/>
      <c r="O19" s="78"/>
      <c r="P19" s="72"/>
      <c r="Q19" s="78"/>
      <c r="R19" s="72"/>
      <c r="S19" s="78"/>
      <c r="T19" s="72"/>
      <c r="U19" s="78"/>
      <c r="V19" s="72"/>
      <c r="W19" s="78"/>
      <c r="X19" s="72"/>
      <c r="Y19" s="78"/>
      <c r="Z19" s="72"/>
      <c r="AA19" s="78"/>
      <c r="AB19" s="72" t="s">
        <v>36</v>
      </c>
      <c r="AC19" s="78">
        <v>240</v>
      </c>
      <c r="AD19" s="72"/>
      <c r="AE19" s="78"/>
      <c r="AF19" s="72"/>
      <c r="AG19" s="78"/>
      <c r="AH19" s="72"/>
      <c r="AI19" s="78"/>
      <c r="AJ19" s="72"/>
      <c r="AK19" s="78"/>
      <c r="AL19" s="72"/>
      <c r="AM19" s="78"/>
      <c r="AN19" s="72"/>
      <c r="AO19" s="78"/>
      <c r="AP19" s="72"/>
      <c r="AQ19" s="78"/>
      <c r="AR19" s="72"/>
      <c r="AS19" s="78"/>
      <c r="AT19" s="72"/>
      <c r="AU19" s="78"/>
      <c r="AV19" s="72"/>
      <c r="AW19" s="78"/>
      <c r="AX19" s="72"/>
      <c r="AY19" s="78"/>
      <c r="AZ19" s="72"/>
      <c r="BA19" s="78"/>
      <c r="BB19" s="79">
        <f t="shared" si="1"/>
        <v>480</v>
      </c>
      <c r="BC19" s="79"/>
    </row>
    <row r="20" s="51" customFormat="1" spans="3:11">
      <c r="C20" s="125"/>
      <c r="D20" s="125"/>
      <c r="E20" s="125"/>
      <c r="F20" s="125"/>
      <c r="G20" s="125"/>
      <c r="H20" s="125"/>
      <c r="I20" s="125"/>
      <c r="J20" s="125"/>
      <c r="K20" s="125"/>
    </row>
    <row r="21" spans="2:55">
      <c r="B21" s="126" t="s">
        <v>80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AX21" s="138"/>
      <c r="AY21" s="138"/>
      <c r="AZ21" s="138"/>
      <c r="BA21" s="138"/>
      <c r="BB21" s="138"/>
      <c r="BC21" s="138"/>
    </row>
    <row r="22" spans="2:55"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AX22" s="138"/>
      <c r="AY22" s="138"/>
      <c r="AZ22" s="138"/>
      <c r="BA22" s="138"/>
      <c r="BB22" s="138"/>
      <c r="BC22" s="138"/>
    </row>
    <row r="23" spans="2:55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AX23" s="138"/>
      <c r="AY23" s="138"/>
      <c r="AZ23" s="138"/>
      <c r="BA23" s="138"/>
      <c r="BB23" s="138"/>
      <c r="BC23" s="138"/>
    </row>
    <row r="24" spans="2:55"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AX24" s="138"/>
      <c r="AY24" s="138"/>
      <c r="AZ24" s="138"/>
      <c r="BA24" s="138"/>
      <c r="BB24" s="138"/>
      <c r="BC24" s="138"/>
    </row>
    <row r="25" spans="2:17"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  <row r="28" spans="2:17"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</row>
    <row r="29" spans="2:17"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</row>
    <row r="30" spans="2:3">
      <c r="B30" s="127"/>
      <c r="C30" s="127"/>
    </row>
    <row r="31" spans="2:3">
      <c r="B31" s="127"/>
      <c r="C31" s="127"/>
    </row>
    <row r="32" spans="2:3">
      <c r="B32" s="127"/>
      <c r="C32" s="127"/>
    </row>
    <row r="33" spans="2:3">
      <c r="B33" s="127"/>
      <c r="C33" s="127"/>
    </row>
  </sheetData>
  <mergeCells count="62">
    <mergeCell ref="C1:D1"/>
    <mergeCell ref="E1:F1"/>
    <mergeCell ref="J1:K1"/>
    <mergeCell ref="L1:M1"/>
    <mergeCell ref="N1:O1"/>
    <mergeCell ref="P1:Q1"/>
    <mergeCell ref="R1:S1"/>
    <mergeCell ref="T1:U1"/>
    <mergeCell ref="V1:W1"/>
    <mergeCell ref="X1:Y1"/>
    <mergeCell ref="AB1:AC1"/>
    <mergeCell ref="AD1:AE1"/>
    <mergeCell ref="AF1:AG1"/>
    <mergeCell ref="AI1:AJ1"/>
    <mergeCell ref="AL1:AM1"/>
    <mergeCell ref="AN1:AO1"/>
    <mergeCell ref="AP1:AQ1"/>
    <mergeCell ref="AR1:AS1"/>
    <mergeCell ref="AV1:AW1"/>
    <mergeCell ref="AX1:AY1"/>
    <mergeCell ref="AZ1:BA1"/>
    <mergeCell ref="BB1:BC1"/>
    <mergeCell ref="BB6:BC6"/>
    <mergeCell ref="BB7:BC7"/>
    <mergeCell ref="BB8:BC8"/>
    <mergeCell ref="BB9:BC9"/>
    <mergeCell ref="BB10:BC10"/>
    <mergeCell ref="BB11:BC11"/>
    <mergeCell ref="BB12:BC12"/>
    <mergeCell ref="BB13:BC13"/>
    <mergeCell ref="BB14:BC14"/>
    <mergeCell ref="BB15:BC15"/>
    <mergeCell ref="BB16:BC16"/>
    <mergeCell ref="C17:D17"/>
    <mergeCell ref="E17:F17"/>
    <mergeCell ref="J17:K17"/>
    <mergeCell ref="L17:M17"/>
    <mergeCell ref="N17:O17"/>
    <mergeCell ref="P17:Q17"/>
    <mergeCell ref="R17:S17"/>
    <mergeCell ref="T17:U17"/>
    <mergeCell ref="V17:W17"/>
    <mergeCell ref="X17:Y17"/>
    <mergeCell ref="AB17:AC17"/>
    <mergeCell ref="AD17:AE17"/>
    <mergeCell ref="AF17:AG17"/>
    <mergeCell ref="AI17:AJ17"/>
    <mergeCell ref="AL17:AM17"/>
    <mergeCell ref="AN17:AO17"/>
    <mergeCell ref="AP17:AQ17"/>
    <mergeCell ref="AR17:AS17"/>
    <mergeCell ref="AV17:AW17"/>
    <mergeCell ref="AX17:AY17"/>
    <mergeCell ref="AZ17:BA17"/>
    <mergeCell ref="BB17:BC17"/>
    <mergeCell ref="BB18:BC18"/>
    <mergeCell ref="BB19:BC19"/>
    <mergeCell ref="A2:A5"/>
    <mergeCell ref="A6:A11"/>
    <mergeCell ref="BB2:BC5"/>
    <mergeCell ref="AX21:BC24"/>
    <mergeCell ref="B21:Q2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O39"/>
  <sheetViews>
    <sheetView tabSelected="1" zoomScale="70" zoomScaleNormal="70" workbookViewId="0">
      <selection activeCell="C26" sqref="C26"/>
    </sheetView>
  </sheetViews>
  <sheetFormatPr defaultColWidth="9.81730769230769" defaultRowHeight="16.8"/>
  <cols>
    <col min="1" max="1" width="6" style="54" customWidth="1"/>
    <col min="2" max="2" width="38.6538461538462" style="54" customWidth="1"/>
    <col min="3" max="3" width="17.6153846153846" style="54" customWidth="1"/>
    <col min="4" max="4" width="22.4615384615385" style="54" customWidth="1"/>
    <col min="5" max="5" width="24.8461538461538" style="54" customWidth="1"/>
    <col min="6" max="6" width="8.69230769230769" style="54" customWidth="1"/>
    <col min="7" max="7" width="14.1153846153846" style="54" customWidth="1"/>
    <col min="8" max="8" width="6.69230769230769" style="54" customWidth="1"/>
    <col min="9" max="9" width="14.3846153846154" style="54" customWidth="1"/>
    <col min="10" max="10" width="7.69230769230769" style="54" customWidth="1"/>
    <col min="11" max="11" width="12.7692307692308" style="54" customWidth="1"/>
    <col min="12" max="12" width="6.69230769230769" style="54" customWidth="1"/>
    <col min="13" max="13" width="10.3076923076923" style="54" customWidth="1"/>
    <col min="14" max="14" width="10.7788461538462" style="54" customWidth="1"/>
    <col min="15" max="15" width="10.3076923076923" style="54" customWidth="1"/>
    <col min="16" max="16" width="7.69230769230769" style="54" customWidth="1"/>
    <col min="17" max="17" width="6" style="54" customWidth="1"/>
    <col min="18" max="18" width="6.69230769230769" style="54" customWidth="1"/>
    <col min="19" max="19" width="10.7788461538462" style="54" customWidth="1"/>
    <col min="20" max="20" width="6.69230769230769" style="54" customWidth="1"/>
    <col min="21" max="21" width="15.1538461538462" style="54" customWidth="1"/>
    <col min="22" max="22" width="6.69230769230769" style="54" customWidth="1"/>
    <col min="23" max="23" width="6" style="54" customWidth="1"/>
    <col min="24" max="24" width="6.69230769230769" style="54" customWidth="1"/>
    <col min="25" max="25" width="20.8461538461538" style="54" customWidth="1"/>
    <col min="26" max="26" width="8.69230769230769" style="55" customWidth="1"/>
    <col min="27" max="27" width="11.9230769230769" style="55" customWidth="1"/>
    <col min="28" max="28" width="6.69230769230769" style="54" customWidth="1"/>
    <col min="29" max="29" width="10.3076923076923" style="54" customWidth="1"/>
    <col min="30" max="30" width="7.69230769230769" style="54" customWidth="1"/>
    <col min="31" max="31" width="8.15384615384615" style="54" customWidth="1"/>
    <col min="32" max="32" width="6.15384615384615" style="51" customWidth="1"/>
    <col min="33" max="33" width="32.3846153846154" style="54" customWidth="1"/>
    <col min="34" max="34" width="6.69230769230769" style="54" customWidth="1"/>
    <col min="35" max="35" width="19.1538461538462" style="54" customWidth="1"/>
    <col min="36" max="36" width="6.69230769230769" style="54" customWidth="1"/>
    <col min="37" max="37" width="8.66346153846154" style="54" customWidth="1"/>
    <col min="38" max="38" width="6.69230769230769" style="54" customWidth="1"/>
    <col min="39" max="39" width="15.1538461538462" style="54" customWidth="1"/>
    <col min="40" max="40" width="7.69230769230769" style="54" customWidth="1"/>
    <col min="41" max="41" width="6" style="54" customWidth="1"/>
    <col min="42" max="42" width="6.69230769230769" style="54" customWidth="1"/>
    <col min="43" max="43" width="10.3076923076923" style="54" customWidth="1"/>
    <col min="44" max="44" width="7.69230769230769" style="54" customWidth="1"/>
    <col min="45" max="45" width="12.7692307692308" style="54" customWidth="1"/>
    <col min="46" max="46" width="6.69230769230769" style="54" customWidth="1"/>
    <col min="47" max="47" width="10.3076923076923" style="54" customWidth="1"/>
    <col min="48" max="48" width="7.38461538461539" style="54" customWidth="1"/>
    <col min="49" max="49" width="21.6153846153846" style="54" customWidth="1"/>
    <col min="50" max="50" width="7.69230769230769" style="54" customWidth="1"/>
    <col min="51" max="51" width="6" style="54" customWidth="1"/>
    <col min="52" max="52" width="6.69230769230769" style="54" customWidth="1"/>
    <col min="53" max="53" width="5.77884615384615" style="54" customWidth="1"/>
    <col min="54" max="54" width="6.69230769230769" style="54" customWidth="1"/>
    <col min="55" max="55" width="8.15384615384615" style="54" customWidth="1"/>
    <col min="56" max="56" width="6.69230769230769" style="54" customWidth="1"/>
    <col min="57" max="57" width="14.1153846153846" style="54" customWidth="1"/>
    <col min="58" max="58" width="8.66346153846154" style="54" customWidth="1"/>
    <col min="59" max="60" width="7.66346153846154" style="54" customWidth="1"/>
    <col min="61" max="61" width="19.2307692307692" style="54" customWidth="1"/>
    <col min="62" max="62" width="6.69230769230769" style="54" customWidth="1"/>
    <col min="63" max="63" width="6" style="54" customWidth="1"/>
    <col min="64" max="64" width="6.69230769230769" style="54" customWidth="1"/>
    <col min="65" max="65" width="8.15384615384615" style="54" customWidth="1"/>
    <col min="66" max="66" width="6" style="54" customWidth="1"/>
    <col min="67" max="67" width="8.69230769230769" style="54" customWidth="1"/>
  </cols>
  <sheetData>
    <row r="1" s="48" customFormat="1" ht="17" spans="1:66">
      <c r="A1" s="56"/>
      <c r="B1" s="57" t="s">
        <v>0</v>
      </c>
      <c r="C1" s="58">
        <v>43800</v>
      </c>
      <c r="D1" s="58"/>
      <c r="E1" s="58">
        <v>43801</v>
      </c>
      <c r="F1" s="58"/>
      <c r="G1" s="58">
        <v>43802</v>
      </c>
      <c r="H1" s="58"/>
      <c r="I1" s="58">
        <v>43803</v>
      </c>
      <c r="J1" s="58"/>
      <c r="K1" s="58">
        <v>43804</v>
      </c>
      <c r="L1" s="58"/>
      <c r="M1" s="58">
        <v>43805</v>
      </c>
      <c r="N1" s="58"/>
      <c r="O1" s="58">
        <v>43806</v>
      </c>
      <c r="P1" s="58"/>
      <c r="Q1" s="58">
        <v>43807</v>
      </c>
      <c r="R1" s="58"/>
      <c r="S1" s="58">
        <v>43808</v>
      </c>
      <c r="T1" s="58"/>
      <c r="U1" s="58">
        <v>43809</v>
      </c>
      <c r="V1" s="58"/>
      <c r="W1" s="58">
        <v>43810</v>
      </c>
      <c r="X1" s="58"/>
      <c r="Y1" s="58">
        <v>43811</v>
      </c>
      <c r="Z1" s="58"/>
      <c r="AA1" s="58">
        <v>43812</v>
      </c>
      <c r="AB1" s="58"/>
      <c r="AC1" s="58">
        <v>43813</v>
      </c>
      <c r="AD1" s="58"/>
      <c r="AE1" s="58">
        <v>43814</v>
      </c>
      <c r="AF1" s="58"/>
      <c r="AG1" s="58">
        <v>43815</v>
      </c>
      <c r="AH1" s="58"/>
      <c r="AI1" s="58">
        <v>43816</v>
      </c>
      <c r="AJ1" s="58"/>
      <c r="AK1" s="58">
        <v>43817</v>
      </c>
      <c r="AL1" s="58"/>
      <c r="AM1" s="58">
        <v>43818</v>
      </c>
      <c r="AN1" s="58"/>
      <c r="AO1" s="58">
        <v>43819</v>
      </c>
      <c r="AP1" s="58"/>
      <c r="AQ1" s="58">
        <v>43820</v>
      </c>
      <c r="AR1" s="58"/>
      <c r="AS1" s="58">
        <v>43821</v>
      </c>
      <c r="AT1" s="58"/>
      <c r="AU1" s="58">
        <v>43822</v>
      </c>
      <c r="AV1" s="58"/>
      <c r="AW1" s="58">
        <v>43823</v>
      </c>
      <c r="AX1" s="58"/>
      <c r="AY1" s="58">
        <v>43824</v>
      </c>
      <c r="AZ1" s="58"/>
      <c r="BA1" s="58">
        <v>43825</v>
      </c>
      <c r="BB1" s="58"/>
      <c r="BC1" s="58">
        <v>43826</v>
      </c>
      <c r="BD1" s="58"/>
      <c r="BE1" s="58">
        <v>43827</v>
      </c>
      <c r="BF1" s="58"/>
      <c r="BG1" s="58">
        <v>43828</v>
      </c>
      <c r="BH1" s="58"/>
      <c r="BI1" s="58">
        <v>43829</v>
      </c>
      <c r="BJ1" s="58"/>
      <c r="BK1" s="58">
        <v>43830</v>
      </c>
      <c r="BL1" s="58"/>
      <c r="BM1" s="105" t="s">
        <v>31</v>
      </c>
      <c r="BN1" s="106"/>
    </row>
    <row r="2" ht="17" spans="1:65">
      <c r="A2" s="59" t="s">
        <v>32</v>
      </c>
      <c r="B2" s="60" t="s">
        <v>33</v>
      </c>
      <c r="C2" s="61"/>
      <c r="D2" s="51"/>
      <c r="E2" s="59"/>
      <c r="F2" s="86">
        <v>10</v>
      </c>
      <c r="G2" s="59"/>
      <c r="H2" s="86"/>
      <c r="I2" s="59"/>
      <c r="J2" s="86"/>
      <c r="K2" s="59"/>
      <c r="L2" s="86">
        <v>5.1</v>
      </c>
      <c r="M2" s="59"/>
      <c r="N2" s="86"/>
      <c r="O2" s="59"/>
      <c r="P2" s="86"/>
      <c r="Q2" s="59"/>
      <c r="R2" s="86"/>
      <c r="S2" s="59"/>
      <c r="T2" s="86"/>
      <c r="U2" s="59"/>
      <c r="V2" s="86"/>
      <c r="W2" s="59"/>
      <c r="X2" s="86"/>
      <c r="Y2" s="59"/>
      <c r="Z2" s="86"/>
      <c r="AA2" s="59"/>
      <c r="AB2" s="86">
        <v>10</v>
      </c>
      <c r="AC2" s="59"/>
      <c r="AD2" s="86"/>
      <c r="AE2" s="59"/>
      <c r="AF2" s="86"/>
      <c r="AG2" s="59"/>
      <c r="AH2" s="86">
        <v>10</v>
      </c>
      <c r="AI2" s="59"/>
      <c r="AJ2" s="86"/>
      <c r="AK2" s="59"/>
      <c r="AL2" s="86"/>
      <c r="AM2" s="59"/>
      <c r="AN2" s="86">
        <v>10</v>
      </c>
      <c r="AO2" s="59"/>
      <c r="AP2" s="86"/>
      <c r="AQ2" s="59"/>
      <c r="AR2" s="86">
        <v>10</v>
      </c>
      <c r="AS2" s="59"/>
      <c r="AT2" s="86"/>
      <c r="AU2" s="59"/>
      <c r="AV2" s="86">
        <v>6</v>
      </c>
      <c r="AW2" s="59"/>
      <c r="AX2" s="86"/>
      <c r="AY2" s="59"/>
      <c r="AZ2" s="86"/>
      <c r="BA2" s="59"/>
      <c r="BB2" s="86"/>
      <c r="BC2" s="59"/>
      <c r="BD2" s="86"/>
      <c r="BE2" s="59"/>
      <c r="BF2" s="86"/>
      <c r="BG2" s="59"/>
      <c r="BH2" s="86"/>
      <c r="BI2" s="59"/>
      <c r="BJ2" s="86"/>
      <c r="BK2" s="59"/>
      <c r="BL2" s="86"/>
      <c r="BM2" s="6">
        <f>SUM(A2:BL5)</f>
        <v>907.02</v>
      </c>
    </row>
    <row r="3" ht="17" spans="1:65">
      <c r="A3" s="59"/>
      <c r="B3" s="60" t="s">
        <v>34</v>
      </c>
      <c r="C3" s="61"/>
      <c r="D3" s="51">
        <v>15</v>
      </c>
      <c r="E3" s="59"/>
      <c r="F3" s="86">
        <v>15</v>
      </c>
      <c r="G3" s="59"/>
      <c r="H3" s="86">
        <v>11</v>
      </c>
      <c r="I3" s="59" t="s">
        <v>81</v>
      </c>
      <c r="J3" s="86"/>
      <c r="K3" s="59"/>
      <c r="L3" s="86">
        <v>15</v>
      </c>
      <c r="M3" s="59" t="s">
        <v>82</v>
      </c>
      <c r="N3" s="86"/>
      <c r="O3" s="59" t="s">
        <v>82</v>
      </c>
      <c r="P3" s="86"/>
      <c r="Q3" s="59"/>
      <c r="R3" s="86">
        <v>9</v>
      </c>
      <c r="S3" s="59"/>
      <c r="T3" s="86">
        <v>12</v>
      </c>
      <c r="U3" s="59"/>
      <c r="V3" s="86">
        <v>12.8</v>
      </c>
      <c r="W3" s="59"/>
      <c r="X3" s="86">
        <v>12</v>
      </c>
      <c r="Y3" s="59"/>
      <c r="Z3" s="86">
        <v>11</v>
      </c>
      <c r="AA3" s="59"/>
      <c r="AB3" s="86">
        <v>12</v>
      </c>
      <c r="AC3" s="59"/>
      <c r="AD3" s="86">
        <v>12</v>
      </c>
      <c r="AE3" s="59"/>
      <c r="AF3" s="95">
        <v>12</v>
      </c>
      <c r="AG3" s="59"/>
      <c r="AH3" s="86">
        <v>13</v>
      </c>
      <c r="AI3" s="59"/>
      <c r="AJ3" s="86">
        <v>13</v>
      </c>
      <c r="AK3" s="59"/>
      <c r="AL3" s="86">
        <v>13</v>
      </c>
      <c r="AM3" s="59"/>
      <c r="AN3" s="86">
        <v>14</v>
      </c>
      <c r="AO3" s="59"/>
      <c r="AP3" s="86">
        <v>13</v>
      </c>
      <c r="AQ3" s="59" t="s">
        <v>83</v>
      </c>
      <c r="AR3" s="86"/>
      <c r="AS3" s="59"/>
      <c r="AT3" s="86">
        <v>14</v>
      </c>
      <c r="AU3" s="59"/>
      <c r="AV3" s="86">
        <v>13</v>
      </c>
      <c r="AW3" s="59"/>
      <c r="AX3" s="86">
        <v>15</v>
      </c>
      <c r="AY3" s="59"/>
      <c r="AZ3" s="86">
        <v>4</v>
      </c>
      <c r="BA3" s="59"/>
      <c r="BB3" s="86">
        <v>13</v>
      </c>
      <c r="BC3" s="59"/>
      <c r="BD3" s="86">
        <v>9</v>
      </c>
      <c r="BE3" s="59"/>
      <c r="BF3" s="86"/>
      <c r="BG3" s="59"/>
      <c r="BH3" s="86"/>
      <c r="BI3" s="59"/>
      <c r="BJ3" s="86">
        <v>13</v>
      </c>
      <c r="BK3" s="59"/>
      <c r="BL3" s="86"/>
      <c r="BM3" s="6"/>
    </row>
    <row r="4" ht="17" spans="1:65">
      <c r="A4" s="59"/>
      <c r="B4" s="60" t="s">
        <v>38</v>
      </c>
      <c r="C4" s="61"/>
      <c r="D4" s="51">
        <v>13.5</v>
      </c>
      <c r="E4" s="59"/>
      <c r="F4" s="86">
        <v>20</v>
      </c>
      <c r="G4" s="59"/>
      <c r="H4" s="86">
        <v>14.5</v>
      </c>
      <c r="I4" s="59"/>
      <c r="J4" s="86">
        <v>9</v>
      </c>
      <c r="K4" s="59"/>
      <c r="L4" s="86">
        <v>13.5</v>
      </c>
      <c r="M4" s="59" t="s">
        <v>82</v>
      </c>
      <c r="N4" s="86"/>
      <c r="O4" s="59"/>
      <c r="P4" s="86">
        <v>7.5</v>
      </c>
      <c r="Q4" s="59"/>
      <c r="R4" s="86">
        <v>11.6</v>
      </c>
      <c r="S4" s="59"/>
      <c r="T4" s="86">
        <v>19</v>
      </c>
      <c r="U4" s="59"/>
      <c r="V4" s="86">
        <v>12</v>
      </c>
      <c r="W4" s="59"/>
      <c r="X4" s="86">
        <v>9</v>
      </c>
      <c r="Y4" s="59"/>
      <c r="Z4" s="86">
        <v>12</v>
      </c>
      <c r="AA4" s="59"/>
      <c r="AB4" s="86">
        <v>4</v>
      </c>
      <c r="AC4" s="59"/>
      <c r="AD4" s="86">
        <v>15</v>
      </c>
      <c r="AE4" s="59"/>
      <c r="AF4" s="95">
        <v>11.5</v>
      </c>
      <c r="AG4" s="59"/>
      <c r="AH4" s="86">
        <v>8</v>
      </c>
      <c r="AI4" s="59"/>
      <c r="AJ4" s="86">
        <v>15</v>
      </c>
      <c r="AK4" s="59"/>
      <c r="AL4" s="86">
        <v>14</v>
      </c>
      <c r="AM4" s="59"/>
      <c r="AN4" s="86">
        <v>20.5</v>
      </c>
      <c r="AO4" s="59"/>
      <c r="AP4" s="86">
        <v>7.5</v>
      </c>
      <c r="AQ4" s="59"/>
      <c r="AR4" s="86">
        <v>7.5</v>
      </c>
      <c r="AS4" s="59" t="s">
        <v>84</v>
      </c>
      <c r="AT4" s="86"/>
      <c r="AU4" s="59"/>
      <c r="AV4" s="86">
        <v>20</v>
      </c>
      <c r="AW4" s="59"/>
      <c r="AX4" s="86">
        <v>18.5</v>
      </c>
      <c r="AY4" s="59"/>
      <c r="AZ4" s="86">
        <v>13.5</v>
      </c>
      <c r="BA4" s="59"/>
      <c r="BB4" s="86">
        <v>8</v>
      </c>
      <c r="BC4" s="59"/>
      <c r="BD4" s="86">
        <v>16.5</v>
      </c>
      <c r="BE4" s="59"/>
      <c r="BF4" s="86"/>
      <c r="BG4" s="59"/>
      <c r="BH4" s="86"/>
      <c r="BI4" s="59"/>
      <c r="BJ4" s="86">
        <v>31</v>
      </c>
      <c r="BK4" s="59"/>
      <c r="BL4" s="86">
        <v>13</v>
      </c>
      <c r="BM4" s="6"/>
    </row>
    <row r="5" ht="17" spans="1:65">
      <c r="A5" s="62"/>
      <c r="B5" s="63" t="s">
        <v>40</v>
      </c>
      <c r="C5" s="64"/>
      <c r="D5" s="65"/>
      <c r="E5" s="62"/>
      <c r="F5" s="87"/>
      <c r="G5" s="62"/>
      <c r="H5" s="87"/>
      <c r="I5" s="62" t="s">
        <v>85</v>
      </c>
      <c r="J5" s="87">
        <v>3.5</v>
      </c>
      <c r="K5" s="62"/>
      <c r="L5" s="87"/>
      <c r="M5" s="62"/>
      <c r="N5" s="87"/>
      <c r="O5" s="62"/>
      <c r="P5" s="87"/>
      <c r="Q5" s="62" t="s">
        <v>85</v>
      </c>
      <c r="R5" s="87">
        <v>4.3</v>
      </c>
      <c r="S5" s="62"/>
      <c r="T5" s="87"/>
      <c r="U5" s="62" t="s">
        <v>86</v>
      </c>
      <c r="V5" s="87">
        <v>10.5</v>
      </c>
      <c r="W5" s="62"/>
      <c r="X5" s="87"/>
      <c r="Y5" s="62" t="s">
        <v>85</v>
      </c>
      <c r="Z5" s="87">
        <f>7.5+2.2</f>
        <v>9.7</v>
      </c>
      <c r="AA5" s="62" t="s">
        <v>87</v>
      </c>
      <c r="AB5" s="87">
        <f>24.03+6.5</f>
        <v>30.53</v>
      </c>
      <c r="AC5" s="62"/>
      <c r="AD5" s="87"/>
      <c r="AE5" s="62"/>
      <c r="AF5" s="96"/>
      <c r="AG5" s="62" t="s">
        <v>85</v>
      </c>
      <c r="AH5" s="87">
        <v>27.6</v>
      </c>
      <c r="AI5" s="62"/>
      <c r="AJ5" s="87"/>
      <c r="AK5" s="62"/>
      <c r="AL5" s="87"/>
      <c r="AM5" s="62"/>
      <c r="AN5" s="87"/>
      <c r="AO5" s="62"/>
      <c r="AP5" s="87"/>
      <c r="AQ5" s="62"/>
      <c r="AR5" s="87"/>
      <c r="AS5" s="62"/>
      <c r="AT5" s="87"/>
      <c r="AU5" s="62"/>
      <c r="AV5" s="87"/>
      <c r="AW5" s="62"/>
      <c r="AX5" s="87"/>
      <c r="AY5" s="62" t="s">
        <v>85</v>
      </c>
      <c r="AZ5" s="87">
        <v>8</v>
      </c>
      <c r="BA5" s="62"/>
      <c r="BB5" s="87"/>
      <c r="BC5" s="62"/>
      <c r="BD5" s="87"/>
      <c r="BE5" s="62"/>
      <c r="BF5" s="87"/>
      <c r="BG5" s="62"/>
      <c r="BH5" s="87"/>
      <c r="BI5" s="62" t="s">
        <v>88</v>
      </c>
      <c r="BJ5" s="87">
        <f>4.5+7</f>
        <v>11.5</v>
      </c>
      <c r="BK5" s="62" t="s">
        <v>85</v>
      </c>
      <c r="BL5" s="87">
        <f>52.59+26.8</f>
        <v>79.39</v>
      </c>
      <c r="BM5" s="6"/>
    </row>
    <row r="6" ht="17" spans="1:67">
      <c r="A6" s="66" t="s">
        <v>42</v>
      </c>
      <c r="B6" s="67" t="s">
        <v>43</v>
      </c>
      <c r="C6" s="68"/>
      <c r="D6" s="69"/>
      <c r="E6" s="88"/>
      <c r="F6" s="89"/>
      <c r="G6" s="88"/>
      <c r="H6" s="89"/>
      <c r="I6" s="88"/>
      <c r="J6" s="89"/>
      <c r="K6" s="88"/>
      <c r="L6" s="89"/>
      <c r="M6" s="88"/>
      <c r="N6" s="89"/>
      <c r="O6" s="88"/>
      <c r="P6" s="89"/>
      <c r="Q6" s="88"/>
      <c r="R6" s="89"/>
      <c r="S6" s="88"/>
      <c r="T6" s="89"/>
      <c r="U6" s="88"/>
      <c r="V6" s="89"/>
      <c r="W6" s="88"/>
      <c r="X6" s="89"/>
      <c r="Y6" s="88"/>
      <c r="Z6" s="89"/>
      <c r="AA6" s="88"/>
      <c r="AB6" s="89"/>
      <c r="AC6" s="88"/>
      <c r="AD6" s="89"/>
      <c r="AE6" s="88"/>
      <c r="AF6" s="97"/>
      <c r="AG6" s="88"/>
      <c r="AH6" s="89"/>
      <c r="AI6" s="88"/>
      <c r="AJ6" s="89"/>
      <c r="AK6" s="88"/>
      <c r="AL6" s="89"/>
      <c r="AM6" s="88"/>
      <c r="AN6" s="89"/>
      <c r="AO6" s="88"/>
      <c r="AP6" s="89"/>
      <c r="AQ6" s="88" t="s">
        <v>89</v>
      </c>
      <c r="AR6" s="89">
        <v>34.02</v>
      </c>
      <c r="AS6" s="88"/>
      <c r="AT6" s="89"/>
      <c r="AU6" s="88"/>
      <c r="AV6" s="89"/>
      <c r="AW6" s="88"/>
      <c r="AX6" s="89"/>
      <c r="AY6" s="88"/>
      <c r="AZ6" s="89"/>
      <c r="BA6" s="88"/>
      <c r="BB6" s="89"/>
      <c r="BC6" s="88"/>
      <c r="BD6" s="89"/>
      <c r="BE6" s="90" t="s">
        <v>90</v>
      </c>
      <c r="BF6" s="90"/>
      <c r="BG6" s="90"/>
      <c r="BH6" s="90"/>
      <c r="BI6" s="88"/>
      <c r="BJ6" s="89"/>
      <c r="BK6" s="88"/>
      <c r="BL6" s="89"/>
      <c r="BM6" s="15">
        <f t="shared" ref="BM6:BM17" si="0">SUM(C6:BL6)</f>
        <v>34.02</v>
      </c>
      <c r="BN6" s="79" t="s">
        <v>31</v>
      </c>
      <c r="BO6" s="79">
        <f>SUM(BM6:BM10)</f>
        <v>1260.35</v>
      </c>
    </row>
    <row r="7" ht="17" spans="1:67">
      <c r="A7" s="59"/>
      <c r="B7" s="70" t="s">
        <v>45</v>
      </c>
      <c r="C7" s="61"/>
      <c r="D7" s="51"/>
      <c r="E7" s="59"/>
      <c r="F7" s="86"/>
      <c r="G7" s="59"/>
      <c r="H7" s="86"/>
      <c r="I7" s="59"/>
      <c r="J7" s="86"/>
      <c r="K7" s="59"/>
      <c r="L7" s="86"/>
      <c r="M7" s="59"/>
      <c r="N7" s="86"/>
      <c r="O7" s="59"/>
      <c r="P7" s="86"/>
      <c r="Q7" s="59"/>
      <c r="R7" s="86"/>
      <c r="S7" s="59"/>
      <c r="T7" s="86"/>
      <c r="U7" s="59"/>
      <c r="V7" s="86"/>
      <c r="W7" s="59"/>
      <c r="X7" s="86"/>
      <c r="Y7" s="59"/>
      <c r="Z7" s="86"/>
      <c r="AA7" s="59"/>
      <c r="AB7" s="86"/>
      <c r="AC7" s="59"/>
      <c r="AD7" s="86"/>
      <c r="AE7" s="59"/>
      <c r="AF7" s="95"/>
      <c r="AG7" s="59"/>
      <c r="AH7" s="86"/>
      <c r="AI7" s="59"/>
      <c r="AJ7" s="86"/>
      <c r="AK7" s="59"/>
      <c r="AL7" s="86"/>
      <c r="AM7" s="59"/>
      <c r="AN7" s="86"/>
      <c r="AO7" s="59"/>
      <c r="AP7" s="86"/>
      <c r="AQ7" s="59"/>
      <c r="AR7" s="86"/>
      <c r="AS7" s="59"/>
      <c r="AT7" s="86"/>
      <c r="AU7" s="59"/>
      <c r="AV7" s="86"/>
      <c r="AW7" s="59"/>
      <c r="AX7" s="86"/>
      <c r="AY7" s="59"/>
      <c r="AZ7" s="86"/>
      <c r="BA7" s="59"/>
      <c r="BB7" s="86"/>
      <c r="BC7" s="59"/>
      <c r="BD7" s="86"/>
      <c r="BE7" s="102" t="s">
        <v>91</v>
      </c>
      <c r="BF7" s="61"/>
      <c r="BG7" s="59">
        <v>200</v>
      </c>
      <c r="BH7" s="103"/>
      <c r="BI7" s="59"/>
      <c r="BJ7" s="86"/>
      <c r="BK7" s="59"/>
      <c r="BL7" s="86"/>
      <c r="BM7" s="15">
        <f t="shared" si="0"/>
        <v>200</v>
      </c>
      <c r="BN7" s="79"/>
      <c r="BO7" s="79"/>
    </row>
    <row r="8" ht="17" spans="1:67">
      <c r="A8" s="59"/>
      <c r="B8" s="71" t="s">
        <v>46</v>
      </c>
      <c r="C8" s="61"/>
      <c r="D8" s="51"/>
      <c r="E8" s="59"/>
      <c r="F8" s="86"/>
      <c r="G8" s="59"/>
      <c r="H8" s="86"/>
      <c r="I8" s="59"/>
      <c r="J8" s="86"/>
      <c r="K8" s="59"/>
      <c r="L8" s="86"/>
      <c r="M8" s="59"/>
      <c r="N8" s="86"/>
      <c r="O8" s="59"/>
      <c r="P8" s="86"/>
      <c r="Q8" s="59"/>
      <c r="R8" s="86"/>
      <c r="S8" s="59"/>
      <c r="T8" s="86"/>
      <c r="U8" s="59"/>
      <c r="V8" s="86"/>
      <c r="W8" s="59"/>
      <c r="X8" s="86"/>
      <c r="Y8" s="59" t="s">
        <v>92</v>
      </c>
      <c r="Z8" s="86">
        <v>6</v>
      </c>
      <c r="AA8" s="59"/>
      <c r="AB8" s="86"/>
      <c r="AC8" s="59"/>
      <c r="AD8" s="86"/>
      <c r="AE8" s="59"/>
      <c r="AF8" s="95"/>
      <c r="AG8" s="59"/>
      <c r="AH8" s="86"/>
      <c r="AI8" s="59"/>
      <c r="AJ8" s="86"/>
      <c r="AK8" s="59"/>
      <c r="AL8" s="86"/>
      <c r="AM8" s="59"/>
      <c r="AN8" s="86"/>
      <c r="AO8" s="59"/>
      <c r="AP8" s="86"/>
      <c r="AQ8" s="59"/>
      <c r="AR8" s="86"/>
      <c r="AS8" s="59" t="s">
        <v>93</v>
      </c>
      <c r="AT8" s="86">
        <v>75</v>
      </c>
      <c r="AU8" s="59"/>
      <c r="AV8" s="86"/>
      <c r="AW8" s="59" t="s">
        <v>94</v>
      </c>
      <c r="AX8" s="86">
        <v>543</v>
      </c>
      <c r="AY8" s="59"/>
      <c r="AZ8" s="86"/>
      <c r="BA8" s="59"/>
      <c r="BB8" s="86"/>
      <c r="BC8" s="59"/>
      <c r="BD8" s="86"/>
      <c r="BE8" s="102" t="s">
        <v>95</v>
      </c>
      <c r="BF8" s="61"/>
      <c r="BG8" s="102">
        <v>25.4</v>
      </c>
      <c r="BH8" s="104"/>
      <c r="BI8" s="59"/>
      <c r="BJ8" s="86"/>
      <c r="BK8" s="59"/>
      <c r="BL8" s="86"/>
      <c r="BM8" s="15">
        <f t="shared" si="0"/>
        <v>649.4</v>
      </c>
      <c r="BN8" s="79"/>
      <c r="BO8" s="79"/>
    </row>
    <row r="9" ht="17" spans="1:67">
      <c r="A9" s="59"/>
      <c r="B9" s="71" t="s">
        <v>48</v>
      </c>
      <c r="C9" s="61"/>
      <c r="D9" s="51"/>
      <c r="E9" s="59"/>
      <c r="F9" s="86"/>
      <c r="G9" s="59"/>
      <c r="H9" s="86"/>
      <c r="I9" s="59"/>
      <c r="J9" s="86"/>
      <c r="K9" s="59"/>
      <c r="L9" s="86"/>
      <c r="M9" s="59" t="s">
        <v>96</v>
      </c>
      <c r="N9" s="86"/>
      <c r="O9" s="59">
        <v>296.74</v>
      </c>
      <c r="P9" s="86"/>
      <c r="Q9" s="59"/>
      <c r="R9" s="86"/>
      <c r="S9" s="59"/>
      <c r="T9" s="86"/>
      <c r="U9" s="59"/>
      <c r="V9" s="86"/>
      <c r="W9" s="59"/>
      <c r="X9" s="86"/>
      <c r="Y9" s="59"/>
      <c r="Z9" s="86"/>
      <c r="AA9" s="59"/>
      <c r="AB9" s="86"/>
      <c r="AC9" s="59"/>
      <c r="AD9" s="86"/>
      <c r="AE9" s="59"/>
      <c r="AF9" s="95"/>
      <c r="AG9" s="59"/>
      <c r="AH9" s="86"/>
      <c r="AI9" s="59"/>
      <c r="AJ9" s="86"/>
      <c r="AK9" s="59"/>
      <c r="AL9" s="86"/>
      <c r="AM9" s="59"/>
      <c r="AN9" s="86"/>
      <c r="AO9" s="59"/>
      <c r="AP9" s="86"/>
      <c r="AQ9" s="59"/>
      <c r="AR9" s="86"/>
      <c r="AS9" s="59"/>
      <c r="AT9" s="86"/>
      <c r="AU9" s="59"/>
      <c r="AV9" s="86"/>
      <c r="AW9" s="59"/>
      <c r="AX9" s="86"/>
      <c r="AY9" s="59"/>
      <c r="AZ9" s="86"/>
      <c r="BA9" s="59"/>
      <c r="BB9" s="86"/>
      <c r="BC9" s="59"/>
      <c r="BD9" s="86"/>
      <c r="BE9" s="102" t="s">
        <v>97</v>
      </c>
      <c r="BF9" s="61"/>
      <c r="BG9" s="102">
        <v>37.69</v>
      </c>
      <c r="BH9" s="104"/>
      <c r="BI9" s="59"/>
      <c r="BJ9" s="86"/>
      <c r="BK9" s="59"/>
      <c r="BL9" s="86"/>
      <c r="BM9" s="15">
        <f t="shared" si="0"/>
        <v>334.43</v>
      </c>
      <c r="BN9" s="79"/>
      <c r="BO9" s="79"/>
    </row>
    <row r="10" ht="17" spans="1:67">
      <c r="A10" s="59"/>
      <c r="B10" s="71" t="s">
        <v>49</v>
      </c>
      <c r="C10" s="61"/>
      <c r="D10" s="51"/>
      <c r="E10" s="59"/>
      <c r="F10" s="86"/>
      <c r="G10" s="59"/>
      <c r="H10" s="86"/>
      <c r="I10" s="59"/>
      <c r="J10" s="86"/>
      <c r="K10" s="59"/>
      <c r="L10" s="86"/>
      <c r="M10" s="59"/>
      <c r="N10" s="86"/>
      <c r="O10" s="59"/>
      <c r="P10" s="86"/>
      <c r="Q10" s="59"/>
      <c r="R10" s="86"/>
      <c r="S10" s="59"/>
      <c r="T10" s="86"/>
      <c r="U10" s="59"/>
      <c r="V10" s="86"/>
      <c r="W10" s="59"/>
      <c r="X10" s="86"/>
      <c r="Y10" s="59"/>
      <c r="Z10" s="86"/>
      <c r="AA10" s="59"/>
      <c r="AB10" s="86"/>
      <c r="AC10" s="59"/>
      <c r="AD10" s="86"/>
      <c r="AE10" s="59"/>
      <c r="AF10" s="95"/>
      <c r="AG10" s="59"/>
      <c r="AH10" s="86"/>
      <c r="AI10" s="59"/>
      <c r="AJ10" s="86"/>
      <c r="AK10" s="59"/>
      <c r="AL10" s="86"/>
      <c r="AM10" s="59"/>
      <c r="AN10" s="86"/>
      <c r="AO10" s="59"/>
      <c r="AP10" s="86"/>
      <c r="AQ10" s="59"/>
      <c r="AR10" s="86"/>
      <c r="AS10" s="59"/>
      <c r="AT10" s="86"/>
      <c r="AU10" s="59"/>
      <c r="AV10" s="86"/>
      <c r="AW10" s="59"/>
      <c r="AX10" s="86"/>
      <c r="AY10" s="59"/>
      <c r="AZ10" s="86"/>
      <c r="BA10" s="59"/>
      <c r="BB10" s="86"/>
      <c r="BC10" s="59"/>
      <c r="BD10" s="86"/>
      <c r="BE10" s="102" t="s">
        <v>98</v>
      </c>
      <c r="BF10" s="61"/>
      <c r="BG10" s="102">
        <v>42.5</v>
      </c>
      <c r="BH10" s="104"/>
      <c r="BI10" s="59"/>
      <c r="BJ10" s="86"/>
      <c r="BK10" s="59"/>
      <c r="BL10" s="86"/>
      <c r="BM10" s="15">
        <f t="shared" si="0"/>
        <v>42.5</v>
      </c>
      <c r="BN10" s="79"/>
      <c r="BO10" s="79"/>
    </row>
    <row r="11" s="49" customFormat="1" ht="17" spans="1:66">
      <c r="A11" s="72" t="s">
        <v>52</v>
      </c>
      <c r="B11" s="73" t="s">
        <v>53</v>
      </c>
      <c r="C11" s="74" t="s">
        <v>54</v>
      </c>
      <c r="D11" s="50">
        <v>1.5</v>
      </c>
      <c r="E11" s="72"/>
      <c r="F11" s="78"/>
      <c r="G11" s="78"/>
      <c r="H11" s="79"/>
      <c r="I11" s="79" t="s">
        <v>99</v>
      </c>
      <c r="J11" s="79">
        <f>100+15.6</f>
        <v>115.6</v>
      </c>
      <c r="K11" s="79" t="s">
        <v>100</v>
      </c>
      <c r="L11" s="72">
        <v>1.6</v>
      </c>
      <c r="M11" s="79"/>
      <c r="N11" s="72"/>
      <c r="O11" s="79"/>
      <c r="P11" s="72"/>
      <c r="Q11" s="79" t="s">
        <v>101</v>
      </c>
      <c r="R11" s="72">
        <v>43</v>
      </c>
      <c r="S11" s="79"/>
      <c r="T11" s="72"/>
      <c r="U11" s="79" t="s">
        <v>55</v>
      </c>
      <c r="V11" s="72">
        <v>3</v>
      </c>
      <c r="W11" s="79" t="s">
        <v>54</v>
      </c>
      <c r="X11" s="72">
        <v>1.14</v>
      </c>
      <c r="Y11" s="79" t="s">
        <v>102</v>
      </c>
      <c r="Z11" s="72">
        <f>1.29+7+38</f>
        <v>46.29</v>
      </c>
      <c r="AA11" s="79" t="s">
        <v>103</v>
      </c>
      <c r="AB11" s="72">
        <v>15.05</v>
      </c>
      <c r="AC11" s="79" t="s">
        <v>104</v>
      </c>
      <c r="AD11" s="72">
        <v>39.9</v>
      </c>
      <c r="AE11" s="79" t="s">
        <v>103</v>
      </c>
      <c r="AF11" s="15">
        <v>27.8</v>
      </c>
      <c r="AG11" s="79" t="s">
        <v>105</v>
      </c>
      <c r="AH11" s="72">
        <f>60+6+11</f>
        <v>77</v>
      </c>
      <c r="AI11" s="79" t="s">
        <v>106</v>
      </c>
      <c r="AJ11" s="72">
        <v>10</v>
      </c>
      <c r="AK11" s="79"/>
      <c r="AL11" s="72"/>
      <c r="AM11" s="79" t="s">
        <v>107</v>
      </c>
      <c r="AN11" s="72">
        <v>15</v>
      </c>
      <c r="AO11" s="79"/>
      <c r="AP11" s="72"/>
      <c r="AQ11" s="79"/>
      <c r="AR11" s="72"/>
      <c r="AS11" s="79"/>
      <c r="AT11" s="72"/>
      <c r="AU11" s="79"/>
      <c r="AV11" s="72"/>
      <c r="AW11" s="79" t="s">
        <v>108</v>
      </c>
      <c r="AX11" s="72">
        <f>6+2.67</f>
        <v>8.67</v>
      </c>
      <c r="AY11" s="79"/>
      <c r="AZ11" s="72"/>
      <c r="BA11" s="79"/>
      <c r="BB11" s="72"/>
      <c r="BC11" s="79" t="s">
        <v>55</v>
      </c>
      <c r="BD11" s="72">
        <v>3</v>
      </c>
      <c r="BE11" s="79"/>
      <c r="BF11" s="72"/>
      <c r="BG11" s="79"/>
      <c r="BH11" s="72"/>
      <c r="BI11" s="79" t="s">
        <v>109</v>
      </c>
      <c r="BJ11" s="72">
        <f>13+3</f>
        <v>16</v>
      </c>
      <c r="BK11" s="79"/>
      <c r="BL11" s="72"/>
      <c r="BM11" s="107">
        <f t="shared" si="0"/>
        <v>424.55</v>
      </c>
      <c r="BN11" s="108"/>
    </row>
    <row r="12" s="49" customFormat="1" ht="17" spans="1:65">
      <c r="A12" s="72" t="s">
        <v>60</v>
      </c>
      <c r="B12" s="73" t="s">
        <v>61</v>
      </c>
      <c r="C12" s="74"/>
      <c r="D12" s="50"/>
      <c r="E12" s="72"/>
      <c r="F12" s="78"/>
      <c r="G12" s="78"/>
      <c r="H12" s="79"/>
      <c r="I12" s="79"/>
      <c r="J12" s="79"/>
      <c r="K12" s="79"/>
      <c r="L12" s="72"/>
      <c r="M12" s="79"/>
      <c r="N12" s="72"/>
      <c r="O12" s="79"/>
      <c r="P12" s="72"/>
      <c r="Q12" s="79"/>
      <c r="R12" s="72"/>
      <c r="S12" s="79"/>
      <c r="T12" s="72"/>
      <c r="U12" s="79"/>
      <c r="V12" s="72"/>
      <c r="W12" s="79"/>
      <c r="X12" s="72"/>
      <c r="Y12" s="79"/>
      <c r="Z12" s="72"/>
      <c r="AA12" s="79"/>
      <c r="AB12" s="72"/>
      <c r="AC12" s="79"/>
      <c r="AD12" s="72"/>
      <c r="AE12" s="79"/>
      <c r="AF12" s="15"/>
      <c r="AG12" s="79"/>
      <c r="AH12" s="72"/>
      <c r="AI12" s="79"/>
      <c r="AJ12" s="72"/>
      <c r="AK12" s="79"/>
      <c r="AL12" s="72"/>
      <c r="AM12" s="79"/>
      <c r="AN12" s="72"/>
      <c r="AO12" s="79"/>
      <c r="AP12" s="72"/>
      <c r="AQ12" s="79"/>
      <c r="AR12" s="72"/>
      <c r="AS12" s="79"/>
      <c r="AT12" s="72"/>
      <c r="AU12" s="79"/>
      <c r="AV12" s="72"/>
      <c r="AW12" s="79"/>
      <c r="AX12" s="72"/>
      <c r="AY12" s="79"/>
      <c r="AZ12" s="72"/>
      <c r="BA12" s="79"/>
      <c r="BB12" s="72"/>
      <c r="BC12" s="79"/>
      <c r="BD12" s="72"/>
      <c r="BE12" s="79"/>
      <c r="BF12" s="72"/>
      <c r="BG12" s="79"/>
      <c r="BH12" s="72"/>
      <c r="BI12" s="79"/>
      <c r="BJ12" s="72"/>
      <c r="BK12" s="79"/>
      <c r="BL12" s="72"/>
      <c r="BM12" s="6">
        <f t="shared" si="0"/>
        <v>0</v>
      </c>
    </row>
    <row r="13" s="49" customFormat="1" ht="17" spans="1:65">
      <c r="A13" s="72" t="s">
        <v>62</v>
      </c>
      <c r="B13" s="73" t="s">
        <v>110</v>
      </c>
      <c r="C13" s="74"/>
      <c r="D13" s="50"/>
      <c r="E13" s="72"/>
      <c r="F13" s="78"/>
      <c r="G13" s="78"/>
      <c r="H13" s="79"/>
      <c r="I13" s="79"/>
      <c r="J13" s="79"/>
      <c r="K13" s="79"/>
      <c r="L13" s="72"/>
      <c r="M13" s="79"/>
      <c r="N13" s="72"/>
      <c r="O13" s="79"/>
      <c r="P13" s="72"/>
      <c r="Q13" s="79"/>
      <c r="R13" s="72"/>
      <c r="S13" s="79"/>
      <c r="T13" s="72"/>
      <c r="U13" s="79"/>
      <c r="V13" s="72"/>
      <c r="W13" s="79"/>
      <c r="X13" s="72"/>
      <c r="Y13" s="79" t="s">
        <v>111</v>
      </c>
      <c r="Z13" s="72">
        <f>1216.17+596.93</f>
        <v>1813.1</v>
      </c>
      <c r="AA13" s="79"/>
      <c r="AB13" s="72"/>
      <c r="AC13" s="79" t="s">
        <v>112</v>
      </c>
      <c r="AD13" s="72">
        <v>136.5</v>
      </c>
      <c r="AE13" s="79"/>
      <c r="AF13" s="15"/>
      <c r="AG13" s="79"/>
      <c r="AH13" s="72"/>
      <c r="AI13" s="79"/>
      <c r="AJ13" s="72"/>
      <c r="AK13" s="79"/>
      <c r="AL13" s="72"/>
      <c r="AM13" s="79" t="s">
        <v>113</v>
      </c>
      <c r="AN13" s="72">
        <v>249.8</v>
      </c>
      <c r="AO13" s="79" t="s">
        <v>114</v>
      </c>
      <c r="AP13" s="72">
        <v>27</v>
      </c>
      <c r="AQ13" s="79"/>
      <c r="AR13" s="72"/>
      <c r="AS13" s="79"/>
      <c r="AT13" s="72"/>
      <c r="AU13" s="79" t="s">
        <v>115</v>
      </c>
      <c r="AV13" s="101">
        <v>-40</v>
      </c>
      <c r="AW13" s="79"/>
      <c r="AX13" s="72"/>
      <c r="AY13" s="79"/>
      <c r="AZ13" s="72"/>
      <c r="BA13" s="79"/>
      <c r="BB13" s="72"/>
      <c r="BC13" s="79"/>
      <c r="BD13" s="72"/>
      <c r="BE13" s="79"/>
      <c r="BF13" s="72"/>
      <c r="BG13" s="79"/>
      <c r="BH13" s="72"/>
      <c r="BI13" s="79"/>
      <c r="BJ13" s="72"/>
      <c r="BK13" s="79"/>
      <c r="BL13" s="72"/>
      <c r="BM13" s="6">
        <f t="shared" si="0"/>
        <v>2186.4</v>
      </c>
    </row>
    <row r="14" s="49" customFormat="1" ht="17" spans="1:65">
      <c r="A14" s="72" t="s">
        <v>64</v>
      </c>
      <c r="B14" s="73" t="s">
        <v>65</v>
      </c>
      <c r="C14" s="74"/>
      <c r="D14" s="50"/>
      <c r="E14" s="72"/>
      <c r="F14" s="78"/>
      <c r="G14" s="78"/>
      <c r="H14" s="79"/>
      <c r="I14" s="79" t="s">
        <v>116</v>
      </c>
      <c r="J14" s="79">
        <f>0.3+28</f>
        <v>28.3</v>
      </c>
      <c r="K14" s="79"/>
      <c r="L14" s="72"/>
      <c r="M14" s="79"/>
      <c r="N14" s="72"/>
      <c r="O14" s="79"/>
      <c r="P14" s="72"/>
      <c r="Q14" s="79"/>
      <c r="R14" s="72"/>
      <c r="S14" s="79"/>
      <c r="T14" s="72"/>
      <c r="U14" s="79" t="s">
        <v>117</v>
      </c>
      <c r="V14" s="72">
        <v>18</v>
      </c>
      <c r="W14" s="79"/>
      <c r="X14" s="72"/>
      <c r="Y14" s="79" t="s">
        <v>68</v>
      </c>
      <c r="Z14" s="72">
        <v>1</v>
      </c>
      <c r="AA14" s="79" t="s">
        <v>118</v>
      </c>
      <c r="AB14" s="72">
        <v>23.4</v>
      </c>
      <c r="AC14" s="79"/>
      <c r="AD14" s="72"/>
      <c r="AE14" s="79"/>
      <c r="AF14" s="15"/>
      <c r="AG14" s="79"/>
      <c r="AH14" s="72"/>
      <c r="AI14" s="79"/>
      <c r="AJ14" s="72"/>
      <c r="AK14" s="79"/>
      <c r="AL14" s="72"/>
      <c r="AM14" s="79"/>
      <c r="AN14" s="72"/>
      <c r="AO14" s="79"/>
      <c r="AP14" s="72"/>
      <c r="AQ14" s="79"/>
      <c r="AR14" s="72"/>
      <c r="AS14" s="79"/>
      <c r="AT14" s="72"/>
      <c r="AU14" s="79" t="s">
        <v>119</v>
      </c>
      <c r="AV14" s="72">
        <v>50</v>
      </c>
      <c r="AW14" s="79"/>
      <c r="AX14" s="72"/>
      <c r="AY14" s="79"/>
      <c r="AZ14" s="72"/>
      <c r="BA14" s="79"/>
      <c r="BB14" s="72"/>
      <c r="BC14" s="79"/>
      <c r="BD14" s="72"/>
      <c r="BE14" s="79"/>
      <c r="BF14" s="72"/>
      <c r="BG14" s="79"/>
      <c r="BH14" s="72"/>
      <c r="BI14" s="79"/>
      <c r="BJ14" s="72"/>
      <c r="BK14" s="79"/>
      <c r="BL14" s="72"/>
      <c r="BM14" s="6">
        <f t="shared" si="0"/>
        <v>120.7</v>
      </c>
    </row>
    <row r="15" s="49" customFormat="1" ht="32" spans="1:65">
      <c r="A15" s="72" t="s">
        <v>69</v>
      </c>
      <c r="B15" s="75" t="s">
        <v>70</v>
      </c>
      <c r="C15" s="76"/>
      <c r="D15" s="50"/>
      <c r="E15" s="72"/>
      <c r="F15" s="78"/>
      <c r="G15" s="78"/>
      <c r="H15" s="79"/>
      <c r="I15" s="79"/>
      <c r="J15" s="79"/>
      <c r="K15" s="79"/>
      <c r="L15" s="72"/>
      <c r="M15" s="79"/>
      <c r="N15" s="72"/>
      <c r="O15" s="79"/>
      <c r="P15" s="72"/>
      <c r="Q15" s="79"/>
      <c r="R15" s="72"/>
      <c r="S15" s="79"/>
      <c r="T15" s="72"/>
      <c r="U15" s="79"/>
      <c r="V15" s="72"/>
      <c r="W15" s="79"/>
      <c r="X15" s="72"/>
      <c r="Y15" s="79"/>
      <c r="Z15" s="72"/>
      <c r="AA15" s="79"/>
      <c r="AB15" s="72"/>
      <c r="AC15" s="79"/>
      <c r="AD15" s="72"/>
      <c r="AE15" s="79"/>
      <c r="AF15" s="15"/>
      <c r="AG15" s="79"/>
      <c r="AH15" s="72"/>
      <c r="AI15" s="79"/>
      <c r="AJ15" s="72"/>
      <c r="AK15" s="79"/>
      <c r="AL15" s="72"/>
      <c r="AM15" s="79"/>
      <c r="AN15" s="72"/>
      <c r="AO15" s="79"/>
      <c r="AP15" s="72"/>
      <c r="AQ15" s="79"/>
      <c r="AR15" s="72"/>
      <c r="AS15" s="79"/>
      <c r="AT15" s="72"/>
      <c r="AU15" s="79"/>
      <c r="AV15" s="72"/>
      <c r="AW15" s="79"/>
      <c r="AX15" s="72"/>
      <c r="AY15" s="79"/>
      <c r="AZ15" s="72"/>
      <c r="BA15" s="79"/>
      <c r="BB15" s="72"/>
      <c r="BC15" s="79"/>
      <c r="BD15" s="72"/>
      <c r="BE15" s="79"/>
      <c r="BF15" s="72"/>
      <c r="BG15" s="79"/>
      <c r="BH15" s="72"/>
      <c r="BI15" s="79"/>
      <c r="BJ15" s="72"/>
      <c r="BK15" s="79" t="s">
        <v>120</v>
      </c>
      <c r="BL15" s="72">
        <v>20</v>
      </c>
      <c r="BM15" s="6">
        <f t="shared" si="0"/>
        <v>20</v>
      </c>
    </row>
    <row r="16" ht="17" spans="2:65">
      <c r="B16" s="77" t="s">
        <v>71</v>
      </c>
      <c r="C16" s="72">
        <f t="shared" ref="C16:G16" si="1">SUM(C2:D15)</f>
        <v>30</v>
      </c>
      <c r="D16" s="78"/>
      <c r="E16" s="72">
        <f t="shared" si="1"/>
        <v>45</v>
      </c>
      <c r="F16" s="78"/>
      <c r="G16" s="72">
        <f t="shared" si="1"/>
        <v>25.5</v>
      </c>
      <c r="H16" s="78"/>
      <c r="I16" s="72">
        <f t="shared" ref="I16:M16" si="2">SUM(I2:J15)</f>
        <v>156.4</v>
      </c>
      <c r="J16" s="78"/>
      <c r="K16" s="72">
        <f t="shared" si="2"/>
        <v>35.2</v>
      </c>
      <c r="L16" s="78"/>
      <c r="M16" s="72">
        <f t="shared" si="2"/>
        <v>0</v>
      </c>
      <c r="N16" s="78"/>
      <c r="O16" s="72">
        <f t="shared" ref="O16:S16" si="3">SUM(O2:P15)</f>
        <v>304.24</v>
      </c>
      <c r="P16" s="78"/>
      <c r="Q16" s="72">
        <f t="shared" si="3"/>
        <v>67.9</v>
      </c>
      <c r="R16" s="78"/>
      <c r="S16" s="72">
        <f t="shared" si="3"/>
        <v>31</v>
      </c>
      <c r="T16" s="78"/>
      <c r="U16" s="72">
        <f t="shared" ref="U16:Y16" si="4">SUM(U2:V15)</f>
        <v>56.3</v>
      </c>
      <c r="V16" s="78"/>
      <c r="W16" s="72">
        <f t="shared" si="4"/>
        <v>22.14</v>
      </c>
      <c r="X16" s="78"/>
      <c r="Y16" s="72">
        <f t="shared" si="4"/>
        <v>1899.09</v>
      </c>
      <c r="Z16" s="78"/>
      <c r="AA16" s="72">
        <f t="shared" ref="AA16:AE16" si="5">SUM(AA2:AB15)</f>
        <v>94.98</v>
      </c>
      <c r="AB16" s="78"/>
      <c r="AC16" s="72">
        <f t="shared" si="5"/>
        <v>203.4</v>
      </c>
      <c r="AD16" s="78"/>
      <c r="AE16" s="72">
        <f t="shared" si="5"/>
        <v>51.3</v>
      </c>
      <c r="AF16" s="78"/>
      <c r="AG16" s="72">
        <f t="shared" ref="AG16:AK16" si="6">SUM(AG2:AH15)</f>
        <v>135.6</v>
      </c>
      <c r="AH16" s="78"/>
      <c r="AI16" s="72">
        <f t="shared" si="6"/>
        <v>38</v>
      </c>
      <c r="AJ16" s="78"/>
      <c r="AK16" s="72">
        <f t="shared" si="6"/>
        <v>27</v>
      </c>
      <c r="AL16" s="78"/>
      <c r="AM16" s="72">
        <f t="shared" ref="AM16:AQ16" si="7">SUM(AM2:AN15)</f>
        <v>309.3</v>
      </c>
      <c r="AN16" s="78"/>
      <c r="AO16" s="72">
        <f t="shared" si="7"/>
        <v>47.5</v>
      </c>
      <c r="AP16" s="78"/>
      <c r="AQ16" s="72">
        <f t="shared" si="7"/>
        <v>51.52</v>
      </c>
      <c r="AR16" s="78"/>
      <c r="AS16" s="72">
        <f t="shared" ref="AS16:AW16" si="8">SUM(AS2:AT15)</f>
        <v>89</v>
      </c>
      <c r="AT16" s="78"/>
      <c r="AU16" s="72">
        <f t="shared" si="8"/>
        <v>49</v>
      </c>
      <c r="AV16" s="78"/>
      <c r="AW16" s="72">
        <f t="shared" si="8"/>
        <v>585.17</v>
      </c>
      <c r="AX16" s="78"/>
      <c r="AY16" s="72">
        <f t="shared" ref="AY16:BC16" si="9">SUM(AY2:AZ15)</f>
        <v>25.5</v>
      </c>
      <c r="AZ16" s="78"/>
      <c r="BA16" s="72">
        <f t="shared" si="9"/>
        <v>21</v>
      </c>
      <c r="BB16" s="78"/>
      <c r="BC16" s="72">
        <f t="shared" si="9"/>
        <v>28.5</v>
      </c>
      <c r="BD16" s="78"/>
      <c r="BE16" s="72">
        <f>SUM(BE2:BH15)</f>
        <v>305.59</v>
      </c>
      <c r="BF16" s="78"/>
      <c r="BG16" s="72"/>
      <c r="BH16" s="78"/>
      <c r="BI16" s="72">
        <f>SUM(BI2:BJ15)</f>
        <v>71.5</v>
      </c>
      <c r="BJ16" s="78"/>
      <c r="BK16" s="72">
        <f>SUM(BK2:BL15)</f>
        <v>112.39</v>
      </c>
      <c r="BL16" s="78"/>
      <c r="BM16" s="6">
        <f t="shared" si="0"/>
        <v>4919.02</v>
      </c>
    </row>
    <row r="17" s="50" customFormat="1" ht="17" spans="1:65">
      <c r="A17" s="79" t="s">
        <v>72</v>
      </c>
      <c r="B17" s="80" t="s">
        <v>79</v>
      </c>
      <c r="C17" s="81"/>
      <c r="D17" s="82"/>
      <c r="E17" s="81"/>
      <c r="F17" s="82"/>
      <c r="G17" s="82"/>
      <c r="H17" s="90"/>
      <c r="I17" s="82"/>
      <c r="J17" s="82"/>
      <c r="K17" s="82"/>
      <c r="L17" s="82"/>
      <c r="M17" s="82"/>
      <c r="N17" s="82"/>
      <c r="O17" s="82" t="s">
        <v>79</v>
      </c>
      <c r="P17" s="82">
        <v>240</v>
      </c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100" t="s">
        <v>79</v>
      </c>
      <c r="AR17" s="82">
        <v>240</v>
      </c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6">
        <f t="shared" si="0"/>
        <v>480</v>
      </c>
    </row>
    <row r="18" s="51" customFormat="1" spans="2:16">
      <c r="B18" s="61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2:67">
      <c r="B19" s="79" t="s">
        <v>121</v>
      </c>
      <c r="C19" s="79" t="s">
        <v>122</v>
      </c>
      <c r="D19" s="79" t="s">
        <v>123</v>
      </c>
      <c r="E19" s="79" t="s">
        <v>124</v>
      </c>
      <c r="F19" s="79" t="s">
        <v>71</v>
      </c>
      <c r="G19" s="91"/>
      <c r="H19"/>
      <c r="I19"/>
      <c r="J19"/>
      <c r="K19"/>
      <c r="L19"/>
      <c r="M19"/>
      <c r="N19"/>
      <c r="O19"/>
      <c r="P19"/>
      <c r="Q19"/>
      <c r="R19"/>
      <c r="S19"/>
      <c r="T19"/>
      <c r="X19" s="55"/>
      <c r="Y19" s="55"/>
      <c r="Z19" s="54"/>
      <c r="AA19" s="54"/>
      <c r="AD19" s="51"/>
      <c r="AF19" s="54"/>
      <c r="BB19"/>
      <c r="BC19"/>
      <c r="BD19"/>
      <c r="BE19"/>
      <c r="BF19"/>
      <c r="BG19"/>
      <c r="BH19"/>
      <c r="BI19"/>
      <c r="BJ19"/>
      <c r="BK19"/>
      <c r="BN19"/>
      <c r="BO19"/>
    </row>
    <row r="20" s="52" customFormat="1" spans="2:63">
      <c r="B20" s="84" t="s">
        <v>125</v>
      </c>
      <c r="C20" s="84">
        <v>43797</v>
      </c>
      <c r="D20" s="84">
        <v>43807</v>
      </c>
      <c r="E20" s="84">
        <v>43819</v>
      </c>
      <c r="F20" s="84" t="s">
        <v>126</v>
      </c>
      <c r="G20" s="92"/>
      <c r="H20"/>
      <c r="I20"/>
      <c r="J20"/>
      <c r="K20"/>
      <c r="L20"/>
      <c r="M20"/>
      <c r="N20"/>
      <c r="O20"/>
      <c r="P20"/>
      <c r="Q20"/>
      <c r="R20"/>
      <c r="S20"/>
      <c r="T20"/>
      <c r="X20" s="48"/>
      <c r="Y20" s="48"/>
      <c r="AD20" s="98"/>
      <c r="BB20"/>
      <c r="BC20"/>
      <c r="BD20"/>
      <c r="BE20"/>
      <c r="BF20"/>
      <c r="BG20"/>
      <c r="BH20"/>
      <c r="BI20"/>
      <c r="BJ20"/>
      <c r="BK20"/>
    </row>
    <row r="21" s="53" customFormat="1" spans="2:63">
      <c r="B21" s="43" t="s">
        <v>127</v>
      </c>
      <c r="C21" s="43">
        <v>1500</v>
      </c>
      <c r="D21" s="43">
        <v>1000</v>
      </c>
      <c r="E21" s="43">
        <v>2500</v>
      </c>
      <c r="F21" s="43">
        <f>SUM(C21:E21)</f>
        <v>5000</v>
      </c>
      <c r="G21" s="93"/>
      <c r="H21"/>
      <c r="I21"/>
      <c r="J21"/>
      <c r="K21"/>
      <c r="L21"/>
      <c r="M21"/>
      <c r="N21"/>
      <c r="O21"/>
      <c r="P21"/>
      <c r="Q21"/>
      <c r="R21"/>
      <c r="S21"/>
      <c r="T21"/>
      <c r="X21" s="94"/>
      <c r="Y21" s="94"/>
      <c r="AD21" s="99"/>
      <c r="BB21"/>
      <c r="BC21"/>
      <c r="BD21"/>
      <c r="BE21"/>
      <c r="BF21"/>
      <c r="BG21"/>
      <c r="BH21"/>
      <c r="BI21"/>
      <c r="BJ21"/>
      <c r="BK21"/>
    </row>
    <row r="22" spans="2:65">
      <c r="B22" s="79" t="s">
        <v>128</v>
      </c>
      <c r="C22" s="79">
        <f>F21-BM16</f>
        <v>80.9799999999996</v>
      </c>
      <c r="D22" s="79"/>
      <c r="E22" s="79"/>
      <c r="F22" s="79"/>
      <c r="G22" s="79"/>
      <c r="H22" s="79"/>
      <c r="I22" s="91"/>
      <c r="J22"/>
      <c r="K22"/>
      <c r="L22"/>
      <c r="M22"/>
      <c r="N22"/>
      <c r="O22"/>
      <c r="P22"/>
      <c r="Q22"/>
      <c r="R22"/>
      <c r="S22"/>
      <c r="T22"/>
      <c r="U22"/>
      <c r="V22"/>
      <c r="BD22"/>
      <c r="BE22"/>
      <c r="BF22"/>
      <c r="BG22"/>
      <c r="BH22"/>
      <c r="BI22"/>
      <c r="BJ22"/>
      <c r="BK22"/>
      <c r="BL22"/>
      <c r="BM22"/>
    </row>
    <row r="23" spans="2:65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BD23"/>
      <c r="BE23"/>
      <c r="BF23"/>
      <c r="BG23"/>
      <c r="BH23"/>
      <c r="BI23"/>
      <c r="BJ23"/>
      <c r="BK23"/>
      <c r="BL23"/>
      <c r="BM23"/>
    </row>
    <row r="24" spans="2:17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spans="2:17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31" spans="2:23">
      <c r="B31" s="85" t="s">
        <v>129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</row>
    <row r="32" spans="2:2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</row>
    <row r="33" spans="2:2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</row>
    <row r="34" spans="2:2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spans="2:2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</row>
    <row r="36" spans="2:2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</row>
    <row r="37" spans="2:2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</row>
    <row r="38" spans="2:2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</row>
    <row r="39" spans="2:2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</row>
  </sheetData>
  <mergeCells count="79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E6:BH6"/>
    <mergeCell ref="BE7:BF7"/>
    <mergeCell ref="BG7:BH7"/>
    <mergeCell ref="BE8:BF8"/>
    <mergeCell ref="BG8:BH8"/>
    <mergeCell ref="M9:N9"/>
    <mergeCell ref="O9:P9"/>
    <mergeCell ref="BE9:BF9"/>
    <mergeCell ref="BG9:BH9"/>
    <mergeCell ref="BE10:BF10"/>
    <mergeCell ref="BG10:BH10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H16"/>
    <mergeCell ref="BI16:BJ16"/>
    <mergeCell ref="BK16:BL16"/>
    <mergeCell ref="C22:H22"/>
    <mergeCell ref="A2:A5"/>
    <mergeCell ref="A6:A10"/>
    <mergeCell ref="BM2:BM5"/>
    <mergeCell ref="BN6:BN10"/>
    <mergeCell ref="BO6:BO10"/>
    <mergeCell ref="B31:W39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W36"/>
  <sheetViews>
    <sheetView zoomScale="80" zoomScaleNormal="80" workbookViewId="0">
      <selection activeCell="L19" sqref="L19"/>
    </sheetView>
  </sheetViews>
  <sheetFormatPr defaultColWidth="9.81730769230769" defaultRowHeight="16.8"/>
  <cols>
    <col min="1" max="1" width="6" customWidth="1"/>
    <col min="2" max="2" width="10.3076923076923" customWidth="1"/>
    <col min="3" max="3" width="11.8461538461538" customWidth="1"/>
    <col min="4" max="4" width="17.2307692307692" customWidth="1"/>
    <col min="5" max="5" width="15.1538461538462" customWidth="1"/>
    <col min="6" max="6" width="12.7692307692308" customWidth="1"/>
    <col min="7" max="7" width="17.6153846153846" customWidth="1"/>
    <col min="8" max="8" width="15.1538461538462" customWidth="1"/>
    <col min="9" max="11" width="11.8461538461538" customWidth="1"/>
    <col min="12" max="14" width="13.0769230769231" customWidth="1"/>
    <col min="15" max="15" width="9.69230769230769" customWidth="1"/>
    <col min="16" max="16" width="8.69230769230769" customWidth="1"/>
    <col min="17" max="17" width="10.3076923076923" customWidth="1"/>
    <col min="19" max="19" width="19.6923076923077" customWidth="1"/>
    <col min="20" max="20" width="10.3076923076923" customWidth="1"/>
    <col min="21" max="21" width="12.7692307692308" customWidth="1"/>
    <col min="22" max="22" width="12.8461538461538" customWidth="1"/>
    <col min="23" max="23" width="8.69230769230769" customWidth="1"/>
  </cols>
  <sheetData>
    <row r="3" customFormat="1" ht="17.6" spans="1:17">
      <c r="A3" s="1"/>
      <c r="B3" s="2" t="s">
        <v>0</v>
      </c>
      <c r="C3" s="3">
        <v>43466</v>
      </c>
      <c r="D3" s="3">
        <v>43497</v>
      </c>
      <c r="E3" s="3">
        <v>43525</v>
      </c>
      <c r="F3" s="3">
        <v>43556</v>
      </c>
      <c r="G3" s="3">
        <v>43586</v>
      </c>
      <c r="H3" s="3">
        <v>43617</v>
      </c>
      <c r="I3" s="3">
        <v>43647</v>
      </c>
      <c r="J3" s="3">
        <v>43678</v>
      </c>
      <c r="K3" s="3">
        <v>43709</v>
      </c>
      <c r="L3" s="3">
        <v>43739</v>
      </c>
      <c r="M3" s="3">
        <v>43770</v>
      </c>
      <c r="N3" s="3">
        <v>43800</v>
      </c>
      <c r="O3" s="21" t="s">
        <v>31</v>
      </c>
      <c r="P3" s="21" t="s">
        <v>130</v>
      </c>
      <c r="Q3" s="2" t="s">
        <v>0</v>
      </c>
    </row>
    <row r="4" customFormat="1" spans="1:17">
      <c r="A4" s="4"/>
      <c r="B4" s="5" t="s">
        <v>33</v>
      </c>
      <c r="C4" s="6"/>
      <c r="D4" s="7"/>
      <c r="E4" s="7"/>
      <c r="F4" s="7"/>
      <c r="G4" s="12"/>
      <c r="H4" s="7"/>
      <c r="I4" s="37"/>
      <c r="J4" s="7"/>
      <c r="K4" s="7"/>
      <c r="L4" s="29"/>
      <c r="M4" s="41"/>
      <c r="N4" s="41"/>
      <c r="O4" s="21">
        <f>SUM(C4:N7)</f>
        <v>0</v>
      </c>
      <c r="P4" s="43">
        <f t="shared" ref="P4:P22" si="0">O4/12</f>
        <v>0</v>
      </c>
      <c r="Q4" s="5" t="s">
        <v>33</v>
      </c>
    </row>
    <row r="5" customFormat="1" spans="1:17">
      <c r="A5" s="8" t="s">
        <v>42</v>
      </c>
      <c r="B5" s="5" t="s">
        <v>34</v>
      </c>
      <c r="C5" s="6"/>
      <c r="D5" s="7"/>
      <c r="E5" s="7"/>
      <c r="F5" s="7"/>
      <c r="G5" s="12"/>
      <c r="H5" s="7"/>
      <c r="I5" s="37"/>
      <c r="J5" s="7"/>
      <c r="K5" s="7"/>
      <c r="L5" s="29"/>
      <c r="M5" s="41"/>
      <c r="N5" s="41"/>
      <c r="O5" s="21"/>
      <c r="P5" s="43"/>
      <c r="Q5" s="5" t="s">
        <v>34</v>
      </c>
    </row>
    <row r="6" customFormat="1" spans="1:17">
      <c r="A6" s="9"/>
      <c r="B6" s="5" t="s">
        <v>38</v>
      </c>
      <c r="C6" s="6"/>
      <c r="D6" s="7"/>
      <c r="E6" s="7"/>
      <c r="F6" s="7"/>
      <c r="G6" s="12"/>
      <c r="H6" s="7"/>
      <c r="I6" s="37"/>
      <c r="J6" s="7"/>
      <c r="K6" s="7"/>
      <c r="L6" s="29"/>
      <c r="M6" s="41"/>
      <c r="N6" s="41"/>
      <c r="O6" s="21"/>
      <c r="P6" s="43"/>
      <c r="Q6" s="5" t="s">
        <v>38</v>
      </c>
    </row>
    <row r="7" customFormat="1" spans="1:23">
      <c r="A7" s="9"/>
      <c r="B7" s="10" t="s">
        <v>98</v>
      </c>
      <c r="C7" s="6"/>
      <c r="D7" s="7"/>
      <c r="E7" s="7"/>
      <c r="F7" s="7"/>
      <c r="G7" s="12"/>
      <c r="H7" s="7"/>
      <c r="I7" s="37"/>
      <c r="J7" s="7"/>
      <c r="K7" s="7"/>
      <c r="L7" s="29"/>
      <c r="M7" s="41"/>
      <c r="N7" s="41"/>
      <c r="O7" s="21"/>
      <c r="P7" s="43"/>
      <c r="Q7" s="10" t="s">
        <v>98</v>
      </c>
      <c r="S7" s="25"/>
      <c r="T7" s="25"/>
      <c r="U7" s="24" t="s">
        <v>131</v>
      </c>
      <c r="V7" s="24"/>
      <c r="W7" s="24"/>
    </row>
    <row r="8" customFormat="1" spans="1:23">
      <c r="A8" s="9"/>
      <c r="B8" s="10" t="s">
        <v>132</v>
      </c>
      <c r="C8" s="11"/>
      <c r="D8" s="12"/>
      <c r="E8" s="12"/>
      <c r="F8" s="12"/>
      <c r="G8" s="12"/>
      <c r="H8" s="7"/>
      <c r="I8" s="38"/>
      <c r="J8" s="12"/>
      <c r="K8" s="12"/>
      <c r="L8" s="7"/>
      <c r="M8" s="12"/>
      <c r="N8" s="12"/>
      <c r="O8" s="21">
        <f t="shared" ref="O8:O23" si="1">SUM(C8:N8)</f>
        <v>0</v>
      </c>
      <c r="P8" s="43">
        <f t="shared" si="0"/>
        <v>0</v>
      </c>
      <c r="Q8" s="10" t="s">
        <v>132</v>
      </c>
      <c r="S8" s="25" t="s">
        <v>133</v>
      </c>
      <c r="T8" s="25" t="s">
        <v>0</v>
      </c>
      <c r="U8" s="47" t="s">
        <v>134</v>
      </c>
      <c r="V8" s="25" t="s">
        <v>135</v>
      </c>
      <c r="W8" s="47" t="s">
        <v>131</v>
      </c>
    </row>
    <row r="9" customFormat="1" spans="1:23">
      <c r="A9" s="9"/>
      <c r="B9" s="10" t="s">
        <v>136</v>
      </c>
      <c r="C9" s="13"/>
      <c r="D9" s="12"/>
      <c r="E9" s="12"/>
      <c r="F9" s="12"/>
      <c r="G9" s="12"/>
      <c r="H9" s="7"/>
      <c r="I9" s="39"/>
      <c r="J9" s="12"/>
      <c r="K9" s="12"/>
      <c r="L9" s="7"/>
      <c r="M9" s="12"/>
      <c r="N9" s="12"/>
      <c r="O9" s="21">
        <f t="shared" si="1"/>
        <v>0</v>
      </c>
      <c r="P9" s="43">
        <f t="shared" si="0"/>
        <v>0</v>
      </c>
      <c r="Q9" s="10" t="s">
        <v>136</v>
      </c>
      <c r="S9" s="25"/>
      <c r="T9" s="25" t="s">
        <v>137</v>
      </c>
      <c r="U9" s="25" t="s">
        <v>138</v>
      </c>
      <c r="V9" s="25" t="s">
        <v>138</v>
      </c>
      <c r="W9" s="25" t="s">
        <v>36</v>
      </c>
    </row>
    <row r="10" customFormat="1" spans="1:23">
      <c r="A10" s="9"/>
      <c r="B10" s="10" t="s">
        <v>139</v>
      </c>
      <c r="C10" s="11"/>
      <c r="D10" s="12"/>
      <c r="E10" s="12"/>
      <c r="F10" s="12"/>
      <c r="G10" s="27"/>
      <c r="H10" s="28"/>
      <c r="I10" s="40"/>
      <c r="J10" s="41"/>
      <c r="K10" s="27"/>
      <c r="L10" s="7"/>
      <c r="M10" s="12"/>
      <c r="N10" s="41"/>
      <c r="O10" s="21">
        <f t="shared" si="1"/>
        <v>0</v>
      </c>
      <c r="P10" s="43">
        <f t="shared" si="0"/>
        <v>0</v>
      </c>
      <c r="Q10" s="10" t="s">
        <v>139</v>
      </c>
      <c r="S10" s="25"/>
      <c r="T10" s="26" t="s">
        <v>140</v>
      </c>
      <c r="U10" s="26">
        <v>1008</v>
      </c>
      <c r="V10" s="26">
        <v>1775</v>
      </c>
      <c r="W10" s="26">
        <f>3800+1440+480+480+480</f>
        <v>6680</v>
      </c>
    </row>
    <row r="11" customFormat="1" spans="1:23">
      <c r="A11" s="14" t="s">
        <v>52</v>
      </c>
      <c r="B11" s="10" t="s">
        <v>141</v>
      </c>
      <c r="C11" s="15"/>
      <c r="D11" s="12"/>
      <c r="E11" s="12"/>
      <c r="F11" s="12"/>
      <c r="G11" s="12"/>
      <c r="H11" s="7"/>
      <c r="I11" s="40"/>
      <c r="J11" s="12"/>
      <c r="K11" s="12"/>
      <c r="L11" s="7"/>
      <c r="M11" s="12"/>
      <c r="N11" s="12"/>
      <c r="O11" s="21">
        <f t="shared" si="1"/>
        <v>0</v>
      </c>
      <c r="P11" s="43">
        <f t="shared" si="0"/>
        <v>0</v>
      </c>
      <c r="Q11" s="10" t="s">
        <v>141</v>
      </c>
      <c r="S11" s="25"/>
      <c r="T11" s="25"/>
      <c r="U11" s="25">
        <f>SUM(U8:W10)</f>
        <v>9463</v>
      </c>
      <c r="V11" s="25"/>
      <c r="W11" s="25"/>
    </row>
    <row r="12" customFormat="1" spans="1:17">
      <c r="A12" s="14" t="s">
        <v>60</v>
      </c>
      <c r="B12" s="10" t="s">
        <v>142</v>
      </c>
      <c r="C12" s="15"/>
      <c r="D12" s="12"/>
      <c r="E12" s="12"/>
      <c r="F12" s="12"/>
      <c r="G12" s="12"/>
      <c r="H12" s="29"/>
      <c r="I12" s="38"/>
      <c r="J12" s="41"/>
      <c r="K12" s="12"/>
      <c r="L12" s="29"/>
      <c r="M12" s="12"/>
      <c r="N12" s="41"/>
      <c r="O12" s="21">
        <f t="shared" si="1"/>
        <v>0</v>
      </c>
      <c r="P12" s="43">
        <f t="shared" si="0"/>
        <v>0</v>
      </c>
      <c r="Q12" s="10" t="s">
        <v>142</v>
      </c>
    </row>
    <row r="13" customFormat="1" spans="1:17">
      <c r="A13" s="14" t="s">
        <v>62</v>
      </c>
      <c r="B13" s="10" t="s">
        <v>143</v>
      </c>
      <c r="C13" s="15"/>
      <c r="D13" s="12"/>
      <c r="E13" s="12"/>
      <c r="F13" s="12"/>
      <c r="G13" s="12"/>
      <c r="H13" s="7"/>
      <c r="I13" s="40"/>
      <c r="J13" s="12"/>
      <c r="K13" s="12"/>
      <c r="L13" s="7"/>
      <c r="M13" s="12"/>
      <c r="N13" s="12"/>
      <c r="O13" s="21">
        <f t="shared" si="1"/>
        <v>0</v>
      </c>
      <c r="P13" s="43">
        <f t="shared" si="0"/>
        <v>0</v>
      </c>
      <c r="Q13" s="10" t="s">
        <v>143</v>
      </c>
    </row>
    <row r="14" customFormat="1" spans="1:19">
      <c r="A14" s="14" t="s">
        <v>64</v>
      </c>
      <c r="B14" s="10" t="s">
        <v>53</v>
      </c>
      <c r="C14" s="6"/>
      <c r="D14" s="7"/>
      <c r="E14" s="7"/>
      <c r="F14" s="7"/>
      <c r="G14" s="12"/>
      <c r="H14" s="7"/>
      <c r="I14" s="42"/>
      <c r="J14" s="7"/>
      <c r="K14" s="7"/>
      <c r="L14" s="7"/>
      <c r="M14" s="12"/>
      <c r="N14" s="12"/>
      <c r="O14" s="21">
        <f t="shared" si="1"/>
        <v>0</v>
      </c>
      <c r="P14" s="43">
        <f t="shared" si="0"/>
        <v>0</v>
      </c>
      <c r="Q14" s="10" t="s">
        <v>53</v>
      </c>
      <c r="S14" s="44" t="s">
        <v>144</v>
      </c>
    </row>
    <row r="15" customFormat="1" ht="17" spans="1:19">
      <c r="A15" s="16" t="s">
        <v>69</v>
      </c>
      <c r="B15" s="10" t="s">
        <v>145</v>
      </c>
      <c r="C15" s="6"/>
      <c r="D15" s="7"/>
      <c r="E15" s="7"/>
      <c r="F15" s="7"/>
      <c r="G15" s="12"/>
      <c r="H15" s="7"/>
      <c r="I15" s="42"/>
      <c r="J15" s="7"/>
      <c r="K15" s="7"/>
      <c r="L15" s="7"/>
      <c r="M15" s="41"/>
      <c r="N15" s="12"/>
      <c r="O15" s="21">
        <f t="shared" si="1"/>
        <v>0</v>
      </c>
      <c r="P15" s="43">
        <f t="shared" si="0"/>
        <v>0</v>
      </c>
      <c r="Q15" s="10" t="s">
        <v>145</v>
      </c>
      <c r="S15" s="45" t="s">
        <v>146</v>
      </c>
    </row>
    <row r="16" customFormat="1" spans="1:19">
      <c r="A16" s="14"/>
      <c r="B16" s="10" t="s">
        <v>147</v>
      </c>
      <c r="C16" s="6"/>
      <c r="D16" s="7"/>
      <c r="E16" s="7"/>
      <c r="F16" s="7"/>
      <c r="G16" s="12"/>
      <c r="H16" s="7"/>
      <c r="I16" s="42"/>
      <c r="J16" s="7"/>
      <c r="K16" s="29"/>
      <c r="L16" s="7"/>
      <c r="M16" s="41"/>
      <c r="N16" s="12"/>
      <c r="O16" s="21">
        <f t="shared" si="1"/>
        <v>0</v>
      </c>
      <c r="P16" s="43">
        <f t="shared" si="0"/>
        <v>0</v>
      </c>
      <c r="Q16" s="10" t="s">
        <v>147</v>
      </c>
      <c r="S16" s="46">
        <f>900+1403+1000</f>
        <v>3303</v>
      </c>
    </row>
    <row r="17" customFormat="1" spans="1:17">
      <c r="A17" s="14"/>
      <c r="B17" s="10" t="s">
        <v>148</v>
      </c>
      <c r="C17" s="6"/>
      <c r="D17" s="7"/>
      <c r="E17" s="7"/>
      <c r="F17" s="7"/>
      <c r="G17" s="12"/>
      <c r="H17" s="7"/>
      <c r="I17" s="42"/>
      <c r="J17" s="7"/>
      <c r="K17" s="7"/>
      <c r="L17" s="7"/>
      <c r="M17" s="12"/>
      <c r="N17" s="12"/>
      <c r="O17" s="21">
        <f t="shared" si="1"/>
        <v>0</v>
      </c>
      <c r="P17" s="43">
        <f t="shared" si="0"/>
        <v>0</v>
      </c>
      <c r="Q17" s="10" t="s">
        <v>148</v>
      </c>
    </row>
    <row r="18" customFormat="1" spans="1:17">
      <c r="A18" s="10" t="s">
        <v>72</v>
      </c>
      <c r="B18" s="10" t="s">
        <v>149</v>
      </c>
      <c r="C18" s="6"/>
      <c r="D18" s="7"/>
      <c r="E18" s="7"/>
      <c r="F18" s="7"/>
      <c r="G18" s="12"/>
      <c r="H18" s="7"/>
      <c r="I18" s="42"/>
      <c r="J18" s="7"/>
      <c r="K18" s="7"/>
      <c r="L18" s="7"/>
      <c r="M18" s="12"/>
      <c r="N18" s="12"/>
      <c r="O18" s="21">
        <f t="shared" si="1"/>
        <v>0</v>
      </c>
      <c r="P18" s="43">
        <f t="shared" si="0"/>
        <v>0</v>
      </c>
      <c r="Q18" s="10" t="s">
        <v>149</v>
      </c>
    </row>
    <row r="19" customFormat="1" spans="2:17">
      <c r="B19" s="17" t="s">
        <v>71</v>
      </c>
      <c r="C19" s="18">
        <v>1588.3</v>
      </c>
      <c r="D19" s="18" t="s">
        <v>150</v>
      </c>
      <c r="E19" s="18">
        <v>2195.56</v>
      </c>
      <c r="F19" s="18">
        <v>2251.57</v>
      </c>
      <c r="G19" s="18">
        <v>1613.67</v>
      </c>
      <c r="H19" s="18">
        <v>1483.1</v>
      </c>
      <c r="I19" s="18">
        <v>1676.7</v>
      </c>
      <c r="J19" s="18">
        <v>1152.11</v>
      </c>
      <c r="K19" s="18">
        <v>3364.4</v>
      </c>
      <c r="L19" s="18">
        <v>1277.64</v>
      </c>
      <c r="M19" s="18">
        <v>1176.37</v>
      </c>
      <c r="N19" s="18">
        <v>4919.02</v>
      </c>
      <c r="O19" s="20">
        <f>SUM(C19:N19)</f>
        <v>22698.44</v>
      </c>
      <c r="P19" s="43">
        <f t="shared" si="0"/>
        <v>1891.53666666667</v>
      </c>
      <c r="Q19" s="17" t="s">
        <v>71</v>
      </c>
    </row>
    <row r="20" customFormat="1" spans="2:17">
      <c r="B20" s="17" t="s">
        <v>151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1"/>
        <v>0</v>
      </c>
      <c r="P20" s="6">
        <f t="shared" si="0"/>
        <v>0</v>
      </c>
      <c r="Q20" s="17" t="s">
        <v>151</v>
      </c>
    </row>
    <row r="21" customFormat="1" spans="2:17">
      <c r="B21" s="19" t="s">
        <v>79</v>
      </c>
      <c r="C21" s="6"/>
      <c r="D21" s="7"/>
      <c r="E21" s="7"/>
      <c r="F21" s="26">
        <v>1008</v>
      </c>
      <c r="G21" s="12">
        <v>775</v>
      </c>
      <c r="H21" s="7">
        <v>1000</v>
      </c>
      <c r="I21" s="42"/>
      <c r="J21" s="26">
        <f>3800+1440+480+480+480</f>
        <v>6680</v>
      </c>
      <c r="K21" s="7"/>
      <c r="L21" s="7"/>
      <c r="M21" s="7"/>
      <c r="N21" s="12"/>
      <c r="O21" s="20">
        <f t="shared" si="1"/>
        <v>9463</v>
      </c>
      <c r="P21" s="43">
        <f t="shared" si="0"/>
        <v>788.583333333333</v>
      </c>
      <c r="Q21" s="19" t="s">
        <v>79</v>
      </c>
    </row>
    <row r="22" customFormat="1" spans="2:17">
      <c r="B22" s="20" t="s">
        <v>152</v>
      </c>
      <c r="C22" s="10"/>
      <c r="D22" s="7"/>
      <c r="E22" s="7"/>
      <c r="F22" s="7"/>
      <c r="G22" s="12"/>
      <c r="H22" s="7"/>
      <c r="I22" s="42"/>
      <c r="J22" s="7"/>
      <c r="K22" s="7"/>
      <c r="L22" s="7"/>
      <c r="M22" s="35">
        <v>2400</v>
      </c>
      <c r="N22" s="36">
        <v>1800</v>
      </c>
      <c r="O22" s="20">
        <f t="shared" si="1"/>
        <v>4200</v>
      </c>
      <c r="P22" s="43">
        <f t="shared" si="0"/>
        <v>350</v>
      </c>
      <c r="Q22" s="20" t="s">
        <v>152</v>
      </c>
    </row>
    <row r="23" customFormat="1" spans="2:17">
      <c r="B23" s="20" t="s">
        <v>153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2"/>
      <c r="O23" s="20">
        <f t="shared" si="1"/>
        <v>0</v>
      </c>
      <c r="P23" s="21" t="s">
        <v>154</v>
      </c>
      <c r="Q23" s="20" t="s">
        <v>153</v>
      </c>
    </row>
    <row r="25" customFormat="1" spans="3:3">
      <c r="C25" s="22"/>
    </row>
    <row r="26" customFormat="1" spans="3:3">
      <c r="C26" s="22"/>
    </row>
    <row r="27" customFormat="1" spans="3:16">
      <c r="C27" s="22"/>
      <c r="D27"/>
      <c r="E27"/>
      <c r="F27"/>
      <c r="G27"/>
      <c r="H27" s="21" t="s">
        <v>155</v>
      </c>
      <c r="I27" s="21"/>
      <c r="J27" s="21"/>
      <c r="K27" s="21"/>
      <c r="L27" s="21"/>
      <c r="M27" s="21"/>
      <c r="N27" s="21"/>
      <c r="O27" s="21"/>
      <c r="P27" s="21"/>
    </row>
    <row r="28" spans="3:3">
      <c r="C28" s="22"/>
    </row>
    <row r="29" spans="3:3">
      <c r="C29" s="22"/>
    </row>
    <row r="30" spans="3:3">
      <c r="C30" s="23"/>
    </row>
    <row r="31" spans="3:9">
      <c r="C31" s="23"/>
      <c r="D31" s="24" t="s">
        <v>156</v>
      </c>
      <c r="E31" s="24" t="s">
        <v>131</v>
      </c>
      <c r="F31" s="24"/>
      <c r="G31" s="24"/>
      <c r="H31" s="24"/>
      <c r="I31" s="21" t="s">
        <v>31</v>
      </c>
    </row>
    <row r="32" spans="3:9">
      <c r="C32" s="23"/>
      <c r="D32" s="25">
        <v>2018</v>
      </c>
      <c r="E32" s="30" t="s">
        <v>131</v>
      </c>
      <c r="F32" s="31" t="s">
        <v>131</v>
      </c>
      <c r="G32" s="31" t="s">
        <v>131</v>
      </c>
      <c r="H32" s="32">
        <v>43804</v>
      </c>
      <c r="I32" s="21">
        <f>SUM(D34:H34)</f>
        <v>23232.93</v>
      </c>
    </row>
    <row r="33" spans="3:9">
      <c r="C33" s="23"/>
      <c r="D33" s="25" t="s">
        <v>157</v>
      </c>
      <c r="E33" s="33" t="s">
        <v>158</v>
      </c>
      <c r="F33" s="33" t="s">
        <v>159</v>
      </c>
      <c r="G33" s="33" t="s">
        <v>160</v>
      </c>
      <c r="H33" s="34" t="s">
        <v>161</v>
      </c>
      <c r="I33" s="21"/>
    </row>
    <row r="34" spans="3:9">
      <c r="C34" s="23"/>
      <c r="D34" s="26">
        <v>7000</v>
      </c>
      <c r="E34" s="35">
        <f>1008+1575+1000+200+3800</f>
        <v>7583</v>
      </c>
      <c r="F34" s="35">
        <f>300+750+604.03+1195.9+800+800</f>
        <v>4449.93</v>
      </c>
      <c r="G34" s="35">
        <v>2400</v>
      </c>
      <c r="H34" s="36">
        <v>1800</v>
      </c>
      <c r="I34" s="21"/>
    </row>
    <row r="35" spans="3:3">
      <c r="C35" s="23"/>
    </row>
    <row r="36" spans="3:3">
      <c r="C36" s="23"/>
    </row>
  </sheetData>
  <mergeCells count="21">
    <mergeCell ref="U7:W7"/>
    <mergeCell ref="U11:W11"/>
    <mergeCell ref="H27:P27"/>
    <mergeCell ref="E31:H31"/>
    <mergeCell ref="A5:A10"/>
    <mergeCell ref="C4:C7"/>
    <mergeCell ref="D4:D7"/>
    <mergeCell ref="E4:E7"/>
    <mergeCell ref="F4:F7"/>
    <mergeCell ref="G4:G7"/>
    <mergeCell ref="H4:H7"/>
    <mergeCell ref="I4:I7"/>
    <mergeCell ref="I32:I34"/>
    <mergeCell ref="J4:J7"/>
    <mergeCell ref="K4:K7"/>
    <mergeCell ref="L4:L7"/>
    <mergeCell ref="M4:M7"/>
    <mergeCell ref="N4:N7"/>
    <mergeCell ref="O4:O7"/>
    <mergeCell ref="P4:P7"/>
    <mergeCell ref="S8:S10"/>
  </mergeCell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十一月</vt:lpstr>
      <vt:lpstr>十二月</vt:lpstr>
      <vt:lpstr>年度总计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19742</dc:creator>
  <cp:lastModifiedBy>℉</cp:lastModifiedBy>
  <dcterms:created xsi:type="dcterms:W3CDTF">2019-11-05T04:35:00Z</dcterms:created>
  <dcterms:modified xsi:type="dcterms:W3CDTF">2021-12-24T17:49:24Z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  <property fmtid="{D5CDD505-2E9C-101B-9397-08002B2CF9AE}" pid="3" name="KSOReadingLayout">
    <vt:bool>false</vt:bool>
  </property>
</Properties>
</file>