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40" windowHeight="13420" tabRatio="909" activeTab="12"/>
  </bookViews>
  <sheets>
    <sheet name="一月" sheetId="1" r:id="rId1"/>
    <sheet name="二月" sheetId="2" r:id="rId2"/>
    <sheet name="三月" sheetId="3" r:id="rId3"/>
    <sheet name="四月" sheetId="4" r:id="rId4"/>
    <sheet name="五月" sheetId="5" r:id="rId5"/>
    <sheet name="六月 " sheetId="6" r:id="rId6"/>
    <sheet name="七月" sheetId="7" r:id="rId7"/>
    <sheet name="八月" sheetId="8" r:id="rId8"/>
    <sheet name="九月" sheetId="9" r:id="rId9"/>
    <sheet name="十月" sheetId="10" r:id="rId10"/>
    <sheet name="十一月" sheetId="11" r:id="rId11"/>
    <sheet name="十二月" sheetId="12" r:id="rId12"/>
    <sheet name="年度总结" sheetId="13" r:id="rId13"/>
  </sheets>
  <calcPr calcId="144525" concurrentCalc="0"/>
</workbook>
</file>

<file path=xl/comments1.xml><?xml version="1.0" encoding="utf-8"?>
<comments xmlns="http://schemas.openxmlformats.org/spreadsheetml/2006/main">
  <authors>
    <author>luoziweiyu</author>
  </authors>
  <commentList>
    <comment ref="D14" authorId="0">
      <text>
        <r>
          <rPr>
            <sz val="9"/>
            <rFont val="宋体"/>
            <charset val="134"/>
          </rPr>
          <t>luoziweiyu:
新百伦530鞋326+卡帕一套395+阿迪魔术贴244+帆布鞋86+工装牛仔裤121+小项链20</t>
        </r>
      </text>
    </comment>
  </commentList>
</comments>
</file>

<file path=xl/comments2.xml><?xml version="1.0" encoding="utf-8"?>
<comments xmlns="http://schemas.openxmlformats.org/spreadsheetml/2006/main">
  <authors>
    <author>luoziweiyu</author>
  </authors>
  <commentList>
    <comment ref="C8" authorId="0">
      <text>
        <r>
          <rPr>
            <b/>
            <sz val="9"/>
            <rFont val="方正书宋_GBK"/>
            <charset val="134"/>
          </rPr>
          <t>luoziweiyu:</t>
        </r>
        <r>
          <rPr>
            <sz val="9"/>
            <rFont val="方正书宋_GBK"/>
            <charset val="134"/>
          </rPr>
          <t xml:space="preserve">
北京</t>
        </r>
      </text>
    </comment>
    <comment ref="I8" authorId="0">
      <text>
        <r>
          <rPr>
            <b/>
            <sz val="9"/>
            <rFont val="方正书宋_GBK"/>
            <charset val="134"/>
          </rPr>
          <t>luoziweiyu:</t>
        </r>
        <r>
          <rPr>
            <sz val="9"/>
            <rFont val="方正书宋_GBK"/>
            <charset val="134"/>
          </rPr>
          <t xml:space="preserve">
武功山，景德镇，青岛，威海</t>
        </r>
      </text>
    </comment>
    <comment ref="C10" authorId="0">
      <text>
        <r>
          <rPr>
            <b/>
            <sz val="9"/>
            <rFont val="方正书宋_GBK"/>
            <charset val="134"/>
          </rPr>
          <t>luoziweiyu:</t>
        </r>
        <r>
          <rPr>
            <sz val="9"/>
            <rFont val="方正书宋_GBK"/>
            <charset val="134"/>
          </rPr>
          <t xml:space="preserve">
时子程李建峰生日</t>
        </r>
      </text>
    </comment>
    <comment ref="J10" authorId="0">
      <text>
        <r>
          <rPr>
            <b/>
            <sz val="9"/>
            <rFont val="方正书宋_GBK"/>
            <charset val="134"/>
          </rPr>
          <t>luoziweiyu:</t>
        </r>
        <r>
          <rPr>
            <sz val="9"/>
            <rFont val="方正书宋_GBK"/>
            <charset val="134"/>
          </rPr>
          <t xml:space="preserve">
李涛生日</t>
        </r>
      </text>
    </comment>
    <comment ref="J12" authorId="0">
      <text>
        <r>
          <rPr>
            <b/>
            <sz val="9"/>
            <rFont val="方正书宋_GBK"/>
            <charset val="134"/>
          </rPr>
          <t>luoziweiyu:</t>
        </r>
        <r>
          <rPr>
            <sz val="9"/>
            <rFont val="方正书宋_GBK"/>
            <charset val="134"/>
          </rPr>
          <t xml:space="preserve">
岩馆二十次卡+青岛游玩</t>
        </r>
      </text>
    </comment>
    <comment ref="M15" authorId="0">
      <text>
        <r>
          <rPr>
            <b/>
            <sz val="9"/>
            <rFont val="方正书宋_GBK"/>
            <charset val="134"/>
          </rPr>
          <t>luoziweiyu:</t>
        </r>
        <r>
          <rPr>
            <sz val="9"/>
            <rFont val="方正书宋_GBK"/>
            <charset val="134"/>
          </rPr>
          <t xml:space="preserve">
双十一</t>
        </r>
      </text>
    </comment>
    <comment ref="K16" authorId="0">
      <text>
        <r>
          <rPr>
            <b/>
            <sz val="9"/>
            <rFont val="方正书宋_GBK"/>
            <charset val="134"/>
          </rPr>
          <t>luoziweiyu:</t>
        </r>
        <r>
          <rPr>
            <sz val="9"/>
            <rFont val="方正书宋_GBK"/>
            <charset val="134"/>
          </rPr>
          <t xml:space="preserve">
MacBook 7700</t>
        </r>
      </text>
    </comment>
    <comment ref="M16" authorId="0">
      <text>
        <r>
          <rPr>
            <b/>
            <sz val="9"/>
            <rFont val="方正书宋_GBK"/>
            <charset val="134"/>
          </rPr>
          <t>luoziweiyu:</t>
        </r>
        <r>
          <rPr>
            <sz val="9"/>
            <rFont val="方正书宋_GBK"/>
            <charset val="134"/>
          </rPr>
          <t xml:space="preserve">
无人机</t>
        </r>
      </text>
    </comment>
    <comment ref="M18" authorId="0">
      <text>
        <r>
          <rPr>
            <b/>
            <sz val="9"/>
            <rFont val="方正书宋_GBK"/>
            <charset val="134"/>
          </rPr>
          <t>luoziweiyu:</t>
        </r>
        <r>
          <rPr>
            <sz val="9"/>
            <rFont val="方正书宋_GBK"/>
            <charset val="134"/>
          </rPr>
          <t xml:space="preserve">
包皮手术</t>
        </r>
      </text>
    </comment>
  </commentList>
</comments>
</file>

<file path=xl/sharedStrings.xml><?xml version="1.0" encoding="utf-8"?>
<sst xmlns="http://schemas.openxmlformats.org/spreadsheetml/2006/main" count="317">
  <si>
    <t>2020-1-10至1-18北京冬训出行计划（2611.03）</t>
  </si>
  <si>
    <t>日期</t>
  </si>
  <si>
    <t>假期回家
账单开启</t>
  </si>
  <si>
    <t>总计</t>
  </si>
  <si>
    <t>①</t>
  </si>
  <si>
    <t>早餐</t>
  </si>
  <si>
    <t>午餐</t>
  </si>
  <si>
    <t>晚餐</t>
  </si>
  <si>
    <t>餐饮美食</t>
  </si>
  <si>
    <t>每日坚果</t>
  </si>
  <si>
    <t>②</t>
  </si>
  <si>
    <t>交通出行</t>
  </si>
  <si>
    <t>交通卡</t>
  </si>
  <si>
    <t>退票手续费</t>
  </si>
  <si>
    <t>去利辛</t>
  </si>
  <si>
    <t>家庭支出</t>
  </si>
  <si>
    <t>人际关系</t>
  </si>
  <si>
    <t>发红包</t>
  </si>
  <si>
    <t>文豪-书</t>
  </si>
  <si>
    <t>李建峰-生日礼物</t>
  </si>
  <si>
    <t>子程-生日礼物</t>
  </si>
  <si>
    <t>APP付费</t>
  </si>
  <si>
    <t>游戏充值</t>
  </si>
  <si>
    <t>拼多多+百度网盘会员</t>
  </si>
  <si>
    <t>淘宝月卡</t>
  </si>
  <si>
    <t>拼多多+爱奇艺会员</t>
  </si>
  <si>
    <t>休闲娱乐</t>
  </si>
  <si>
    <t>唱歌</t>
  </si>
  <si>
    <t>KTV</t>
  </si>
  <si>
    <t>住宿支出</t>
  </si>
  <si>
    <t>③</t>
  </si>
  <si>
    <t>生活支出</t>
  </si>
  <si>
    <t>寄快递</t>
  </si>
  <si>
    <t>洗衣服</t>
  </si>
  <si>
    <t>快递</t>
  </si>
  <si>
    <t>④</t>
  </si>
  <si>
    <t>服饰购物</t>
  </si>
  <si>
    <t>迪卡侬衣物</t>
  </si>
  <si>
    <t>⑤</t>
  </si>
  <si>
    <t>生活购物</t>
  </si>
  <si>
    <t>买自行车</t>
  </si>
  <si>
    <t>码表；鼠标</t>
  </si>
  <si>
    <t>⑥</t>
  </si>
  <si>
    <t>文体教育</t>
  </si>
  <si>
    <t>文印</t>
  </si>
  <si>
    <t>⑦</t>
  </si>
  <si>
    <t>医疗健康</t>
  </si>
  <si>
    <t>共计</t>
  </si>
  <si>
    <t>收入</t>
  </si>
  <si>
    <t>兼职收入</t>
  </si>
  <si>
    <t>家教</t>
  </si>
  <si>
    <t>其他收入</t>
  </si>
  <si>
    <t>本月现金流来源：</t>
  </si>
  <si>
    <t>上月结余</t>
  </si>
  <si>
    <t>老妈打钱</t>
  </si>
  <si>
    <t>老爸打钱</t>
  </si>
  <si>
    <t>过年红包</t>
  </si>
  <si>
    <t>日期：</t>
  </si>
  <si>
    <t>2020/01/</t>
  </si>
  <si>
    <t>——</t>
  </si>
  <si>
    <t>金额：</t>
  </si>
  <si>
    <t>本月结余：</t>
  </si>
  <si>
    <t>　</t>
  </si>
  <si>
    <t>老姐</t>
  </si>
  <si>
    <t>朱茜茹</t>
  </si>
  <si>
    <t>知乎会员</t>
  </si>
  <si>
    <t>iCloud</t>
  </si>
  <si>
    <t>apple music</t>
  </si>
  <si>
    <t>_x0008_</t>
  </si>
  <si>
    <t>话费</t>
  </si>
  <si>
    <t>骑行等</t>
  </si>
  <si>
    <t>小黄人音箱</t>
  </si>
  <si>
    <t>骑行配件</t>
  </si>
  <si>
    <t>发箍；转接头</t>
  </si>
  <si>
    <t>手账用品</t>
  </si>
  <si>
    <t>与老王骑阜阳</t>
  </si>
  <si>
    <t>王肖旭</t>
  </si>
  <si>
    <t>李建峰生日礼物快递费</t>
  </si>
  <si>
    <t>迅游vip</t>
  </si>
  <si>
    <t>游戏</t>
  </si>
  <si>
    <t>icloud</t>
  </si>
  <si>
    <t>百度网盘会员</t>
  </si>
  <si>
    <t>烫头</t>
  </si>
  <si>
    <t>书</t>
  </si>
  <si>
    <t>国家助学金补助</t>
  </si>
  <si>
    <t>格拉条</t>
  </si>
  <si>
    <t>给姐转钱</t>
  </si>
  <si>
    <t>子程—书</t>
  </si>
  <si>
    <t>去老王家吃饭</t>
  </si>
  <si>
    <t>知乎会员+iCloud</t>
  </si>
  <si>
    <t>淘宝月卡+seasaw月卡</t>
  </si>
  <si>
    <t>骑行物资</t>
  </si>
  <si>
    <t>退换快递</t>
  </si>
  <si>
    <t>骑行面罩</t>
  </si>
  <si>
    <t>琳抱枕</t>
  </si>
  <si>
    <t>夜骑手电</t>
  </si>
  <si>
    <t>明信片</t>
  </si>
  <si>
    <t>现金损益调整</t>
  </si>
  <si>
    <t>/</t>
  </si>
  <si>
    <t>注：</t>
  </si>
  <si>
    <t>五一中线骑行计划（1566.37）</t>
  </si>
  <si>
    <t>午饭（麻辣香锅）</t>
  </si>
  <si>
    <t>晚餐（外卖）</t>
  </si>
  <si>
    <t>晚餐 （炒菜）</t>
  </si>
  <si>
    <t>水果+补给</t>
  </si>
  <si>
    <t>吃的</t>
  </si>
  <si>
    <t>补给</t>
  </si>
  <si>
    <t>轮渡</t>
  </si>
  <si>
    <t>大巴车票+退票手续费</t>
  </si>
  <si>
    <t>交通</t>
  </si>
  <si>
    <t>火车票+其他交通</t>
  </si>
  <si>
    <t>给老姐转钱</t>
  </si>
  <si>
    <t>姐-薯片</t>
  </si>
  <si>
    <t>iCloud续费</t>
  </si>
  <si>
    <t>网盘会员+知乎会员</t>
  </si>
  <si>
    <t>iCloud music</t>
  </si>
  <si>
    <t>皮肤</t>
  </si>
  <si>
    <t>泰山门票</t>
  </si>
  <si>
    <t>住宿</t>
  </si>
  <si>
    <t>寄自行车+租大衣</t>
  </si>
  <si>
    <t>装自行车</t>
  </si>
  <si>
    <t>水+快递费</t>
  </si>
  <si>
    <t>买鞋</t>
  </si>
  <si>
    <t>特步运动裤</t>
  </si>
  <si>
    <t>迪卡侬购物</t>
  </si>
  <si>
    <t>充电头</t>
  </si>
  <si>
    <t>鱼瓶</t>
  </si>
  <si>
    <t>买书</t>
  </si>
  <si>
    <t>老妈转账</t>
  </si>
  <si>
    <t>去康佳家玩</t>
  </si>
  <si>
    <t>水</t>
  </si>
  <si>
    <t>奶茶</t>
  </si>
  <si>
    <t>浅茶</t>
  </si>
  <si>
    <t>给老姐发红包</t>
  </si>
  <si>
    <t>姐</t>
  </si>
  <si>
    <t>宋瑾如-浅茶</t>
  </si>
  <si>
    <t>康佳-浅茶</t>
  </si>
  <si>
    <t>国豪</t>
  </si>
  <si>
    <t>知乎</t>
  </si>
  <si>
    <t>QQ超会</t>
  </si>
  <si>
    <t>爱奇艺会员</t>
  </si>
  <si>
    <t>腾讯视频会员</t>
  </si>
  <si>
    <t>找老哥们玩</t>
  </si>
  <si>
    <t>剧本杀</t>
  </si>
  <si>
    <t>密室逃脱</t>
  </si>
  <si>
    <t>提现</t>
  </si>
  <si>
    <t>指甲剪和话费</t>
  </si>
  <si>
    <t>剪头</t>
  </si>
  <si>
    <t>快递费</t>
  </si>
  <si>
    <t>风扇叶</t>
  </si>
  <si>
    <t>买菜</t>
  </si>
  <si>
    <t>翻译</t>
  </si>
  <si>
    <t>购物</t>
  </si>
  <si>
    <t>贺卡</t>
  </si>
  <si>
    <t>充电宝</t>
  </si>
  <si>
    <t>凉鞋+地图</t>
  </si>
  <si>
    <t>收纳盒</t>
  </si>
  <si>
    <t>阅读架</t>
  </si>
  <si>
    <t>蛋白粉+杯子</t>
  </si>
  <si>
    <t>书+健身卡</t>
  </si>
  <si>
    <t>老爸给钱</t>
  </si>
  <si>
    <t>老妈给钱</t>
  </si>
  <si>
    <t>本月结余</t>
  </si>
  <si>
    <t>7-13合肥；7-14至7-23江西（2831.48）</t>
  </si>
  <si>
    <t>威海、青岛之旅</t>
  </si>
  <si>
    <t>烧烤</t>
  </si>
  <si>
    <t>登山物资</t>
  </si>
  <si>
    <t>打车</t>
  </si>
  <si>
    <t>火车票</t>
  </si>
  <si>
    <t>交通+火车票+退票手续费</t>
  </si>
  <si>
    <t>火车票+交通</t>
  </si>
  <si>
    <t>交通+火车票</t>
  </si>
  <si>
    <t>机票</t>
  </si>
  <si>
    <t>随行记</t>
  </si>
  <si>
    <t>上网</t>
  </si>
  <si>
    <t>洗澡</t>
  </si>
  <si>
    <t>攀岩+武功山报名费+上网</t>
  </si>
  <si>
    <t>滕王阁戏剧</t>
  </si>
  <si>
    <t>博物馆门票+讲解器</t>
  </si>
  <si>
    <t>宾馆</t>
  </si>
  <si>
    <t>药</t>
  </si>
  <si>
    <t>买东西</t>
  </si>
  <si>
    <t>寄快递+网吧</t>
  </si>
  <si>
    <t>网吧</t>
  </si>
  <si>
    <t>转账给肖大神</t>
  </si>
  <si>
    <t>奶粉</t>
  </si>
  <si>
    <t>杯子</t>
  </si>
  <si>
    <t>雨伞</t>
  </si>
  <si>
    <t>共计：</t>
  </si>
  <si>
    <t>餐饮费用：</t>
  </si>
  <si>
    <t>银证转账</t>
  </si>
  <si>
    <t>住宿费用：</t>
  </si>
  <si>
    <t>交通费用：</t>
  </si>
  <si>
    <t>其他：</t>
  </si>
  <si>
    <t>威海、青岛之旅（5014.83）</t>
  </si>
  <si>
    <t>果啤</t>
  </si>
  <si>
    <t>机票+专线车</t>
  </si>
  <si>
    <t>老哥生日</t>
  </si>
  <si>
    <t>请喝-奶茶</t>
  </si>
  <si>
    <t>李涛-生日礼物</t>
  </si>
  <si>
    <t>前行记</t>
  </si>
  <si>
    <t>lol</t>
  </si>
  <si>
    <t>app永久会员</t>
  </si>
  <si>
    <t>攀岩馆二十次卡</t>
  </si>
  <si>
    <t>博物馆门票+购物</t>
  </si>
  <si>
    <t>水准零点帆船体验+海昌极地海洋世界门票+缆车和照片</t>
  </si>
  <si>
    <t>变色龙岩馆</t>
  </si>
  <si>
    <t>网吧+岩舞者岩馆</t>
  </si>
  <si>
    <t>方特门票</t>
  </si>
  <si>
    <t>退房手续费</t>
  </si>
  <si>
    <t>纪念册</t>
  </si>
  <si>
    <t>生活用品</t>
  </si>
  <si>
    <t>修电脑</t>
  </si>
  <si>
    <t>攀岩裤</t>
  </si>
  <si>
    <t>登山包</t>
  </si>
  <si>
    <t>充电器+床上用品</t>
  </si>
  <si>
    <t>护发精油</t>
  </si>
  <si>
    <t>鼠标、拖鞋、收纳袋</t>
  </si>
  <si>
    <t>猫粮</t>
  </si>
  <si>
    <t>文具</t>
  </si>
  <si>
    <t>证券市场收益</t>
  </si>
  <si>
    <t>基金盈利转出</t>
  </si>
  <si>
    <t>妈</t>
  </si>
  <si>
    <t>爸</t>
  </si>
  <si>
    <t>共计：（已+上月592.63）</t>
  </si>
  <si>
    <t>南京出行</t>
  </si>
  <si>
    <t>给姐转账</t>
  </si>
  <si>
    <t>人情往来</t>
  </si>
  <si>
    <t>请水</t>
  </si>
  <si>
    <t>请喝</t>
  </si>
  <si>
    <t>请吃</t>
  </si>
  <si>
    <t>请吃-三哥</t>
  </si>
  <si>
    <t>请吃-老哥</t>
  </si>
  <si>
    <t>队服</t>
  </si>
  <si>
    <t>包</t>
  </si>
  <si>
    <t>迪卡侬</t>
  </si>
  <si>
    <t>macbook air</t>
  </si>
  <si>
    <t>岩馆兼职</t>
  </si>
  <si>
    <t>股市盈利转出</t>
  </si>
  <si>
    <t>老爸老妈打钱：</t>
  </si>
  <si>
    <t>无</t>
  </si>
  <si>
    <t>菏泽</t>
  </si>
  <si>
    <t>环巢湖</t>
  </si>
  <si>
    <t>武功山伙伴聚餐</t>
  </si>
  <si>
    <t>子程学姐杜小杰</t>
  </si>
  <si>
    <t>和老王</t>
  </si>
  <si>
    <t>冰粉</t>
  </si>
  <si>
    <t>牛奶+零食</t>
  </si>
  <si>
    <t>牛奶</t>
  </si>
  <si>
    <t>水果</t>
  </si>
  <si>
    <t>王肖旭-交通</t>
  </si>
  <si>
    <t>王肖旭-吃</t>
  </si>
  <si>
    <t>子程-药</t>
  </si>
  <si>
    <t>吃-李建峰</t>
  </si>
  <si>
    <t>吃-佟博文</t>
  </si>
  <si>
    <t>slidebox</t>
  </si>
  <si>
    <t>黄钻</t>
  </si>
  <si>
    <t>海伦司</t>
  </si>
  <si>
    <t>蹦迪</t>
  </si>
  <si>
    <t>水票</t>
  </si>
  <si>
    <t>t恤+帽子</t>
  </si>
  <si>
    <t>马丁靴</t>
  </si>
  <si>
    <t>攀岩鞋</t>
  </si>
  <si>
    <t>鼠标电脑膜收纳包</t>
  </si>
  <si>
    <t>耳机壳</t>
  </si>
  <si>
    <t>🚴‍手机支架</t>
  </si>
  <si>
    <t>枕芯+花</t>
  </si>
  <si>
    <t>杂志</t>
  </si>
  <si>
    <t>国职初级攀岩指导员培训</t>
  </si>
  <si>
    <t>笔</t>
  </si>
  <si>
    <t>查重</t>
  </si>
  <si>
    <t>卖AirPods</t>
  </si>
  <si>
    <t>双十一</t>
  </si>
  <si>
    <t>老姐-转账</t>
  </si>
  <si>
    <t>QQ</t>
  </si>
  <si>
    <t>洗鞋</t>
  </si>
  <si>
    <t>证件照</t>
  </si>
  <si>
    <t>修无人机</t>
  </si>
  <si>
    <t>卫衣</t>
  </si>
  <si>
    <t>裤子</t>
  </si>
  <si>
    <t>纸</t>
  </si>
  <si>
    <t>DJL mini2</t>
  </si>
  <si>
    <t>猫粮；卡套</t>
  </si>
  <si>
    <t>网易云</t>
  </si>
  <si>
    <t>剃须刀</t>
  </si>
  <si>
    <t>插排+读卡器</t>
  </si>
  <si>
    <t>pr</t>
  </si>
  <si>
    <t>包皮环切</t>
  </si>
  <si>
    <t>餐饮</t>
  </si>
  <si>
    <t>酸奶</t>
  </si>
  <si>
    <t>姐-书</t>
  </si>
  <si>
    <t>国豪-书</t>
  </si>
  <si>
    <t>酒店-崔玉凤</t>
  </si>
  <si>
    <t>红包</t>
  </si>
  <si>
    <t>林俊杰专辑</t>
  </si>
  <si>
    <t>看电影</t>
  </si>
  <si>
    <t>百里毅行报名费</t>
  </si>
  <si>
    <t>攀岩</t>
  </si>
  <si>
    <t>岩馆</t>
  </si>
  <si>
    <t>天宫国际</t>
  </si>
  <si>
    <t>洗衣服+修拉链</t>
  </si>
  <si>
    <t>耳机壳+猫窝</t>
  </si>
  <si>
    <t>蓝牙手机支架</t>
  </si>
  <si>
    <t>超市</t>
  </si>
  <si>
    <t>手链+头绳</t>
  </si>
  <si>
    <t>术后内裤</t>
  </si>
  <si>
    <t>洗牙补牙</t>
  </si>
  <si>
    <t>龙舟队训练费</t>
  </si>
  <si>
    <t>助学贷款余额</t>
  </si>
  <si>
    <t>贫困补贴</t>
  </si>
  <si>
    <t>拼多多</t>
  </si>
  <si>
    <t>空调退费</t>
  </si>
  <si>
    <t>股市收益转出</t>
  </si>
  <si>
    <t>平均</t>
  </si>
  <si>
    <t>爸妈打钱</t>
  </si>
  <si>
    <t>银证转出</t>
  </si>
  <si>
    <t>2000*12=24000+5000（学习生活物品）+5000（旅游）+5000（提升自我：报班运动）=39000</t>
  </si>
</sst>
</file>

<file path=xl/styles.xml><?xml version="1.0" encoding="utf-8"?>
<styleSheet xmlns="http://schemas.openxmlformats.org/spreadsheetml/2006/main">
  <numFmts count="8">
    <numFmt numFmtId="176" formatCode="0.00_ "/>
    <numFmt numFmtId="177" formatCode="yyyy&quot;年&quot;m&quot;月&quot;;@"/>
    <numFmt numFmtId="178" formatCode="0.00_);[Red]\(0.00\)"/>
    <numFmt numFmtId="179" formatCode="yyyy/m/d;@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5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9"/>
      </left>
      <right/>
      <top style="thin">
        <color auto="1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auto="1"/>
      </right>
      <top/>
      <bottom/>
      <diagonal/>
    </border>
    <border>
      <left style="thin">
        <color theme="9"/>
      </left>
      <right/>
      <top style="thin">
        <color theme="9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theme="9"/>
      </left>
      <right style="thin">
        <color auto="1"/>
      </right>
      <top style="thin">
        <color auto="1"/>
      </top>
      <bottom style="thin">
        <color theme="9"/>
      </bottom>
      <diagonal/>
    </border>
    <border>
      <left style="thin">
        <color theme="9"/>
      </left>
      <right style="thin">
        <color auto="1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auto="1"/>
      </right>
      <top style="thin">
        <color theme="9"/>
      </top>
      <bottom style="thin">
        <color auto="1"/>
      </bottom>
      <diagonal/>
    </border>
    <border>
      <left style="thin">
        <color theme="9"/>
      </left>
      <right style="thin">
        <color auto="1"/>
      </right>
      <top style="thin">
        <color theme="9"/>
      </top>
      <bottom/>
      <diagonal/>
    </border>
    <border>
      <left style="thin">
        <color theme="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/>
      </left>
      <right style="thin">
        <color auto="1"/>
      </right>
      <top style="thin">
        <color auto="1"/>
      </top>
      <bottom/>
      <diagonal/>
    </border>
    <border>
      <left style="thin">
        <color theme="9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auto="1"/>
      </bottom>
      <diagonal/>
    </border>
    <border>
      <left style="thin">
        <color theme="9"/>
      </left>
      <right/>
      <top style="thin">
        <color auto="1"/>
      </top>
      <bottom/>
      <diagonal/>
    </border>
    <border>
      <left style="thin">
        <color theme="9"/>
      </left>
      <right/>
      <top style="thin">
        <color theme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theme="9"/>
      </top>
      <bottom style="thin">
        <color theme="9"/>
      </bottom>
      <diagonal/>
    </border>
    <border>
      <left/>
      <right style="thin">
        <color auto="1"/>
      </right>
      <top style="thin">
        <color theme="9"/>
      </top>
      <bottom style="thin">
        <color auto="1"/>
      </bottom>
      <diagonal/>
    </border>
    <border>
      <left style="thin">
        <color theme="9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0" fontId="16" fillId="16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15" borderId="53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7" fillId="9" borderId="53" applyNumberForma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6" fillId="0" borderId="54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4" fillId="10" borderId="52" applyNumberFormat="0" applyAlignment="0" applyProtection="0">
      <alignment vertical="center"/>
    </xf>
    <xf numFmtId="0" fontId="13" fillId="9" borderId="51" applyNumberFormat="0" applyAlignment="0" applyProtection="0">
      <alignment vertical="center"/>
    </xf>
    <xf numFmtId="0" fontId="25" fillId="0" borderId="4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0" fillId="7" borderId="50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48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0" borderId="49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8" fillId="0" borderId="47" applyNumberFormat="0" applyFill="0" applyAlignment="0" applyProtection="0">
      <alignment vertical="center"/>
    </xf>
  </cellStyleXfs>
  <cellXfs count="211">
    <xf numFmtId="0" fontId="0" fillId="0" borderId="0" xfId="0">
      <alignment vertical="center"/>
    </xf>
    <xf numFmtId="179" fontId="0" fillId="0" borderId="1" xfId="0" applyNumberFormat="1" applyFill="1" applyBorder="1" applyAlignment="1">
      <alignment horizontal="center" vertical="center"/>
    </xf>
    <xf numFmtId="179" fontId="0" fillId="0" borderId="2" xfId="0" applyNumberFormat="1" applyFill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78" fontId="0" fillId="0" borderId="4" xfId="0" applyNumberFormat="1" applyFill="1" applyBorder="1" applyAlignment="1">
      <alignment horizontal="center" vertical="center"/>
    </xf>
    <xf numFmtId="178" fontId="2" fillId="0" borderId="2" xfId="0" applyNumberFormat="1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8" fontId="0" fillId="0" borderId="5" xfId="0" applyNumberFormat="1" applyFill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0" fillId="0" borderId="6" xfId="0" applyNumberFormat="1" applyFill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178" fontId="0" fillId="0" borderId="6" xfId="0" applyNumberFormat="1" applyFill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178" fontId="0" fillId="0" borderId="6" xfId="0" applyNumberFormat="1" applyFill="1" applyBorder="1" applyAlignment="1">
      <alignment horizontal="center" vertical="center" wrapText="1"/>
    </xf>
    <xf numFmtId="178" fontId="5" fillId="0" borderId="2" xfId="0" applyNumberFormat="1" applyFon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4" fillId="0" borderId="6" xfId="0" applyNumberFormat="1" applyFont="1" applyFill="1" applyBorder="1" applyAlignment="1">
      <alignment horizontal="center" vertical="center"/>
    </xf>
    <xf numFmtId="2" fontId="4" fillId="0" borderId="2" xfId="0" applyNumberFormat="1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/>
    </xf>
    <xf numFmtId="2" fontId="3" fillId="0" borderId="7" xfId="0" applyNumberFormat="1" applyFont="1" applyFill="1" applyBorder="1" applyAlignment="1">
      <alignment horizontal="center" vertical="center"/>
    </xf>
    <xf numFmtId="2" fontId="3" fillId="0" borderId="8" xfId="0" applyNumberFormat="1" applyFont="1" applyFill="1" applyBorder="1" applyAlignment="1">
      <alignment horizontal="center" vertical="center"/>
    </xf>
    <xf numFmtId="2" fontId="4" fillId="0" borderId="8" xfId="0" applyNumberFormat="1" applyFont="1" applyFill="1" applyBorder="1" applyAlignment="1">
      <alignment horizontal="center" vertical="center"/>
    </xf>
    <xf numFmtId="2" fontId="0" fillId="0" borderId="8" xfId="0" applyNumberFormat="1" applyFill="1" applyBorder="1" applyAlignment="1">
      <alignment horizontal="center" vertical="center"/>
    </xf>
    <xf numFmtId="2" fontId="3" fillId="0" borderId="6" xfId="0" applyNumberFormat="1" applyFont="1" applyFill="1" applyBorder="1" applyAlignment="1">
      <alignment horizontal="center" vertical="center"/>
    </xf>
    <xf numFmtId="2" fontId="0" fillId="0" borderId="7" xfId="0" applyNumberFormat="1" applyFill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79" fontId="0" fillId="0" borderId="9" xfId="0" applyNumberFormat="1" applyFill="1" applyBorder="1" applyAlignment="1">
      <alignment horizontal="center" vertical="center"/>
    </xf>
    <xf numFmtId="179" fontId="0" fillId="0" borderId="6" xfId="0" applyNumberFormat="1" applyFont="1" applyFill="1" applyBorder="1" applyAlignment="1">
      <alignment horizontal="center" vertical="center"/>
    </xf>
    <xf numFmtId="179" fontId="0" fillId="0" borderId="7" xfId="0" applyNumberFormat="1" applyFont="1" applyFill="1" applyBorder="1" applyAlignment="1">
      <alignment horizontal="center" vertical="center"/>
    </xf>
    <xf numFmtId="178" fontId="2" fillId="0" borderId="10" xfId="0" applyNumberFormat="1" applyFont="1" applyFill="1" applyBorder="1" applyAlignment="1">
      <alignment horizontal="center" vertical="center"/>
    </xf>
    <xf numFmtId="178" fontId="0" fillId="0" borderId="5" xfId="0" applyNumberFormat="1" applyFont="1" applyFill="1" applyBorder="1" applyAlignment="1">
      <alignment horizontal="center" vertical="center"/>
    </xf>
    <xf numFmtId="178" fontId="0" fillId="0" borderId="11" xfId="0" applyNumberFormat="1" applyFont="1" applyFill="1" applyBorder="1" applyAlignment="1">
      <alignment horizontal="center" vertical="center"/>
    </xf>
    <xf numFmtId="178" fontId="0" fillId="0" borderId="0" xfId="0" applyNumberFormat="1" applyFont="1" applyFill="1" applyAlignment="1">
      <alignment horizontal="center" vertical="center"/>
    </xf>
    <xf numFmtId="178" fontId="0" fillId="0" borderId="12" xfId="0" applyNumberFormat="1" applyFill="1" applyBorder="1" applyAlignment="1">
      <alignment horizontal="center" vertical="center"/>
    </xf>
    <xf numFmtId="178" fontId="0" fillId="0" borderId="4" xfId="0" applyNumberFormat="1" applyFont="1" applyFill="1" applyBorder="1" applyAlignment="1">
      <alignment horizontal="center" vertical="center"/>
    </xf>
    <xf numFmtId="178" fontId="0" fillId="0" borderId="13" xfId="0" applyNumberFormat="1" applyFont="1" applyFill="1" applyBorder="1" applyAlignment="1">
      <alignment horizontal="center" vertical="center"/>
    </xf>
    <xf numFmtId="178" fontId="0" fillId="0" borderId="9" xfId="0" applyNumberFormat="1" applyFill="1" applyBorder="1" applyAlignment="1">
      <alignment horizontal="center" vertical="center"/>
    </xf>
    <xf numFmtId="178" fontId="0" fillId="0" borderId="10" xfId="0" applyNumberFormat="1" applyFill="1" applyBorder="1" applyAlignment="1">
      <alignment horizontal="center" vertical="center"/>
    </xf>
    <xf numFmtId="178" fontId="0" fillId="0" borderId="14" xfId="0" applyNumberFormat="1" applyFill="1" applyBorder="1" applyAlignment="1">
      <alignment horizontal="center" vertical="center"/>
    </xf>
    <xf numFmtId="178" fontId="0" fillId="0" borderId="15" xfId="0" applyNumberFormat="1" applyFill="1" applyBorder="1" applyAlignment="1">
      <alignment horizontal="center" vertical="center"/>
    </xf>
    <xf numFmtId="178" fontId="0" fillId="0" borderId="7" xfId="0" applyNumberFormat="1" applyFill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top"/>
    </xf>
    <xf numFmtId="178" fontId="0" fillId="0" borderId="7" xfId="0" applyNumberFormat="1" applyFill="1" applyBorder="1" applyAlignment="1">
      <alignment horizontal="center" vertical="top"/>
    </xf>
    <xf numFmtId="178" fontId="0" fillId="0" borderId="0" xfId="0" applyNumberFormat="1" applyFill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2" xfId="0" applyNumberFormat="1" applyFill="1" applyBorder="1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0" fontId="3" fillId="0" borderId="16" xfId="0" applyFont="1" applyBorder="1" applyAlignment="1">
      <alignment vertical="center"/>
    </xf>
    <xf numFmtId="178" fontId="0" fillId="0" borderId="17" xfId="0" applyNumberFormat="1" applyFont="1" applyFill="1" applyBorder="1" applyAlignment="1">
      <alignment horizontal="center" vertical="center"/>
    </xf>
    <xf numFmtId="178" fontId="0" fillId="0" borderId="18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178" fontId="0" fillId="0" borderId="19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178" fontId="0" fillId="0" borderId="0" xfId="0" applyNumberFormat="1" applyFont="1" applyFill="1" applyBorder="1" applyAlignment="1">
      <alignment horizontal="center" vertical="center"/>
    </xf>
    <xf numFmtId="178" fontId="0" fillId="0" borderId="11" xfId="0" applyNumberFormat="1" applyFill="1" applyBorder="1" applyAlignment="1">
      <alignment horizontal="center" vertical="center"/>
    </xf>
    <xf numFmtId="178" fontId="0" fillId="0" borderId="13" xfId="0" applyNumberFormat="1" applyFill="1" applyBorder="1" applyAlignment="1">
      <alignment horizontal="center" vertical="center"/>
    </xf>
    <xf numFmtId="178" fontId="0" fillId="0" borderId="19" xfId="0" applyNumberFormat="1" applyFill="1" applyBorder="1" applyAlignment="1">
      <alignment horizontal="center" vertical="center"/>
    </xf>
    <xf numFmtId="178" fontId="0" fillId="0" borderId="17" xfId="0" applyNumberFormat="1" applyFill="1" applyBorder="1" applyAlignment="1">
      <alignment horizontal="center" vertical="center"/>
    </xf>
    <xf numFmtId="178" fontId="0" fillId="0" borderId="18" xfId="0" applyNumberFormat="1" applyFill="1" applyBorder="1" applyAlignment="1">
      <alignment horizontal="center" vertical="center"/>
    </xf>
    <xf numFmtId="0" fontId="0" fillId="0" borderId="2" xfId="0" applyBorder="1">
      <alignment vertical="center"/>
    </xf>
    <xf numFmtId="178" fontId="4" fillId="0" borderId="2" xfId="0" applyNumberFormat="1" applyFont="1" applyFill="1" applyBorder="1" applyAlignment="1">
      <alignment horizontal="center" vertical="center"/>
    </xf>
    <xf numFmtId="178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78" fontId="0" fillId="0" borderId="2" xfId="0" applyNumberFormat="1" applyFill="1" applyBorder="1" applyAlignment="1">
      <alignment vertical="top"/>
    </xf>
    <xf numFmtId="178" fontId="0" fillId="0" borderId="0" xfId="0" applyNumberFormat="1" applyFill="1" applyAlignment="1">
      <alignment vertical="top"/>
    </xf>
    <xf numFmtId="0" fontId="0" fillId="0" borderId="13" xfId="0" applyBorder="1" applyAlignment="1">
      <alignment horizontal="center" vertical="center"/>
    </xf>
    <xf numFmtId="178" fontId="0" fillId="0" borderId="11" xfId="0" applyNumberFormat="1" applyFill="1" applyBorder="1" applyAlignment="1">
      <alignment vertical="center"/>
    </xf>
    <xf numFmtId="178" fontId="0" fillId="0" borderId="19" xfId="0" applyNumberFormat="1" applyFill="1" applyBorder="1" applyAlignment="1">
      <alignment vertical="center"/>
    </xf>
    <xf numFmtId="178" fontId="0" fillId="0" borderId="8" xfId="0" applyNumberFormat="1" applyFill="1" applyBorder="1" applyAlignment="1">
      <alignment horizontal="center" vertical="center"/>
    </xf>
    <xf numFmtId="179" fontId="0" fillId="0" borderId="6" xfId="0" applyNumberForma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9" fontId="0" fillId="0" borderId="4" xfId="0" applyNumberFormat="1" applyFont="1" applyFill="1" applyBorder="1" applyAlignment="1">
      <alignment horizontal="center" vertical="center"/>
    </xf>
    <xf numFmtId="179" fontId="0" fillId="0" borderId="19" xfId="0" applyNumberFormat="1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center" wrapText="1"/>
    </xf>
    <xf numFmtId="176" fontId="0" fillId="0" borderId="0" xfId="0" applyNumberForma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18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179" fontId="0" fillId="0" borderId="24" xfId="0" applyNumberFormat="1" applyFill="1" applyBorder="1" applyAlignment="1">
      <alignment horizontal="center" vertical="center"/>
    </xf>
    <xf numFmtId="179" fontId="0" fillId="0" borderId="4" xfId="0" applyNumberFormat="1" applyFill="1" applyBorder="1" applyAlignment="1">
      <alignment horizontal="center" vertical="center"/>
    </xf>
    <xf numFmtId="179" fontId="0" fillId="0" borderId="19" xfId="0" applyNumberFormat="1" applyFill="1" applyBorder="1" applyAlignment="1">
      <alignment horizontal="center" vertical="center"/>
    </xf>
    <xf numFmtId="178" fontId="2" fillId="0" borderId="25" xfId="0" applyNumberFormat="1" applyFont="1" applyFill="1" applyBorder="1" applyAlignment="1">
      <alignment horizontal="center" vertical="center"/>
    </xf>
    <xf numFmtId="178" fontId="0" fillId="0" borderId="26" xfId="0" applyNumberFormat="1" applyFill="1" applyBorder="1" applyAlignment="1">
      <alignment horizontal="center" vertical="center"/>
    </xf>
    <xf numFmtId="178" fontId="0" fillId="0" borderId="24" xfId="0" applyNumberFormat="1" applyFill="1" applyBorder="1" applyAlignment="1">
      <alignment horizontal="center" vertical="center"/>
    </xf>
    <xf numFmtId="178" fontId="0" fillId="0" borderId="25" xfId="0" applyNumberFormat="1" applyFill="1" applyBorder="1" applyAlignment="1">
      <alignment horizontal="center" vertical="center"/>
    </xf>
    <xf numFmtId="178" fontId="0" fillId="0" borderId="27" xfId="0" applyNumberFormat="1" applyFill="1" applyBorder="1" applyAlignment="1">
      <alignment horizontal="center" vertical="center"/>
    </xf>
    <xf numFmtId="178" fontId="0" fillId="0" borderId="28" xfId="0" applyNumberFormat="1" applyFill="1" applyBorder="1" applyAlignment="1">
      <alignment horizontal="center" vertical="center"/>
    </xf>
    <xf numFmtId="178" fontId="0" fillId="0" borderId="29" xfId="0" applyNumberFormat="1" applyFill="1" applyBorder="1" applyAlignment="1">
      <alignment horizontal="center" vertical="center"/>
    </xf>
    <xf numFmtId="178" fontId="0" fillId="0" borderId="30" xfId="0" applyNumberFormat="1" applyFill="1" applyBorder="1" applyAlignment="1">
      <alignment horizontal="center" vertical="center"/>
    </xf>
    <xf numFmtId="178" fontId="5" fillId="0" borderId="2" xfId="0" applyNumberFormat="1" applyFont="1" applyFill="1" applyBorder="1" applyAlignment="1">
      <alignment horizontal="center" vertical="center" wrapText="1"/>
    </xf>
    <xf numFmtId="14" fontId="0" fillId="0" borderId="2" xfId="0" applyNumberFormat="1" applyFill="1" applyBorder="1" applyAlignment="1">
      <alignment horizontal="center" vertical="center"/>
    </xf>
    <xf numFmtId="176" fontId="0" fillId="0" borderId="3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79" fontId="0" fillId="0" borderId="13" xfId="0" applyNumberForma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178" fontId="0" fillId="0" borderId="2" xfId="0" applyNumberFormat="1" applyFill="1" applyBorder="1" applyAlignment="1">
      <alignment vertical="top" wrapText="1"/>
    </xf>
    <xf numFmtId="58" fontId="0" fillId="0" borderId="2" xfId="0" applyNumberForma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58" fontId="0" fillId="0" borderId="2" xfId="0" applyNumberFormat="1" applyBorder="1" applyAlignment="1">
      <alignment horizontal="center" vertical="center"/>
    </xf>
    <xf numFmtId="0" fontId="0" fillId="0" borderId="31" xfId="0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179" fontId="0" fillId="0" borderId="8" xfId="0" applyNumberFormat="1" applyFill="1" applyBorder="1" applyAlignment="1">
      <alignment horizontal="center" vertical="center"/>
    </xf>
    <xf numFmtId="179" fontId="0" fillId="0" borderId="7" xfId="0" applyNumberForma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center" wrapText="1"/>
    </xf>
    <xf numFmtId="178" fontId="0" fillId="0" borderId="0" xfId="0" applyNumberFormat="1" applyFill="1" applyAlignment="1">
      <alignment horizontal="center" vertical="top"/>
    </xf>
    <xf numFmtId="178" fontId="0" fillId="0" borderId="31" xfId="0" applyNumberFormat="1" applyFill="1" applyBorder="1" applyAlignment="1">
      <alignment horizontal="center" vertical="center"/>
    </xf>
    <xf numFmtId="178" fontId="0" fillId="0" borderId="33" xfId="0" applyNumberFormat="1" applyFill="1" applyBorder="1" applyAlignment="1">
      <alignment horizontal="center" vertical="center"/>
    </xf>
    <xf numFmtId="178" fontId="0" fillId="0" borderId="2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20" xfId="0" applyBorder="1" applyAlignment="1">
      <alignment vertical="center"/>
    </xf>
    <xf numFmtId="179" fontId="0" fillId="0" borderId="17" xfId="0" applyNumberForma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79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vertical="center"/>
    </xf>
    <xf numFmtId="178" fontId="5" fillId="0" borderId="34" xfId="0" applyNumberFormat="1" applyFont="1" applyFill="1" applyBorder="1" applyAlignment="1">
      <alignment horizontal="center" vertical="center"/>
    </xf>
    <xf numFmtId="178" fontId="5" fillId="0" borderId="35" xfId="0" applyNumberFormat="1" applyFont="1" applyFill="1" applyBorder="1" applyAlignment="1">
      <alignment horizontal="center" vertical="center"/>
    </xf>
    <xf numFmtId="178" fontId="0" fillId="0" borderId="3" xfId="0" applyNumberFormat="1" applyFill="1" applyBorder="1" applyAlignment="1">
      <alignment horizontal="center" vertical="center"/>
    </xf>
    <xf numFmtId="178" fontId="2" fillId="0" borderId="36" xfId="0" applyNumberFormat="1" applyFont="1" applyFill="1" applyBorder="1" applyAlignment="1">
      <alignment horizontal="center" vertical="center"/>
    </xf>
    <xf numFmtId="178" fontId="0" fillId="0" borderId="37" xfId="0" applyNumberFormat="1" applyFill="1" applyBorder="1" applyAlignment="1">
      <alignment horizontal="center" vertical="center"/>
    </xf>
    <xf numFmtId="178" fontId="0" fillId="0" borderId="2" xfId="0" applyNumberFormat="1" applyFill="1" applyBorder="1" applyAlignment="1">
      <alignment vertical="center"/>
    </xf>
    <xf numFmtId="178" fontId="0" fillId="0" borderId="38" xfId="0" applyNumberFormat="1" applyFill="1" applyBorder="1" applyAlignment="1">
      <alignment horizontal="center" vertical="center"/>
    </xf>
    <xf numFmtId="178" fontId="4" fillId="0" borderId="13" xfId="0" applyNumberFormat="1" applyFont="1" applyFill="1" applyBorder="1" applyAlignment="1">
      <alignment horizontal="center" vertical="center"/>
    </xf>
    <xf numFmtId="178" fontId="0" fillId="0" borderId="39" xfId="0" applyNumberFormat="1" applyFill="1" applyBorder="1" applyAlignment="1">
      <alignment horizontal="center" vertical="center"/>
    </xf>
    <xf numFmtId="178" fontId="0" fillId="0" borderId="31" xfId="0" applyNumberFormat="1" applyFill="1" applyBorder="1" applyAlignment="1">
      <alignment vertical="center"/>
    </xf>
    <xf numFmtId="178" fontId="5" fillId="0" borderId="40" xfId="0" applyNumberFormat="1" applyFont="1" applyFill="1" applyBorder="1" applyAlignment="1">
      <alignment horizontal="center" vertical="center"/>
    </xf>
    <xf numFmtId="179" fontId="0" fillId="0" borderId="0" xfId="0" applyNumberFormat="1" applyFill="1" applyAlignment="1">
      <alignment horizontal="center" vertical="center" wrapText="1"/>
    </xf>
    <xf numFmtId="178" fontId="0" fillId="0" borderId="0" xfId="0" applyNumberFormat="1" applyFill="1" applyAlignment="1">
      <alignment horizontal="center" vertical="center" wrapText="1"/>
    </xf>
    <xf numFmtId="179" fontId="0" fillId="0" borderId="8" xfId="0" applyNumberFormat="1" applyFill="1" applyBorder="1" applyAlignment="1">
      <alignment horizontal="center" vertical="center" wrapText="1"/>
    </xf>
    <xf numFmtId="179" fontId="0" fillId="0" borderId="7" xfId="0" applyNumberFormat="1" applyFill="1" applyBorder="1" applyAlignment="1">
      <alignment horizontal="center" vertical="center" wrapText="1"/>
    </xf>
    <xf numFmtId="178" fontId="0" fillId="0" borderId="8" xfId="0" applyNumberFormat="1" applyFill="1" applyBorder="1" applyAlignment="1">
      <alignment horizontal="center" vertical="center" wrapText="1"/>
    </xf>
    <xf numFmtId="178" fontId="5" fillId="0" borderId="33" xfId="0" applyNumberFormat="1" applyFont="1" applyFill="1" applyBorder="1" applyAlignment="1">
      <alignment horizontal="center" vertical="center" wrapText="1"/>
    </xf>
    <xf numFmtId="178" fontId="0" fillId="0" borderId="5" xfId="0" applyNumberFormat="1" applyFill="1" applyBorder="1" applyAlignment="1">
      <alignment horizontal="center" vertical="center" wrapText="1"/>
    </xf>
    <xf numFmtId="178" fontId="0" fillId="0" borderId="4" xfId="0" applyNumberFormat="1" applyFill="1" applyBorder="1" applyAlignment="1">
      <alignment horizontal="center" vertical="center" wrapText="1"/>
    </xf>
    <xf numFmtId="178" fontId="0" fillId="0" borderId="17" xfId="0" applyNumberFormat="1" applyFill="1" applyBorder="1" applyAlignment="1">
      <alignment horizontal="center" vertical="center" wrapText="1"/>
    </xf>
    <xf numFmtId="178" fontId="0" fillId="0" borderId="1" xfId="0" applyNumberFormat="1" applyFill="1" applyBorder="1" applyAlignment="1">
      <alignment horizontal="center" vertical="center" wrapText="1"/>
    </xf>
    <xf numFmtId="178" fontId="0" fillId="0" borderId="18" xfId="0" applyNumberFormat="1" applyFill="1" applyBorder="1" applyAlignment="1">
      <alignment horizontal="center" vertical="center" wrapText="1"/>
    </xf>
    <xf numFmtId="178" fontId="0" fillId="0" borderId="11" xfId="0" applyNumberForma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179" fontId="0" fillId="0" borderId="17" xfId="0" applyNumberFormat="1" applyFill="1" applyBorder="1" applyAlignment="1">
      <alignment horizontal="center" vertical="center" wrapText="1"/>
    </xf>
    <xf numFmtId="178" fontId="0" fillId="0" borderId="6" xfId="0" applyNumberFormat="1" applyBorder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 wrapText="1"/>
    </xf>
    <xf numFmtId="178" fontId="0" fillId="0" borderId="0" xfId="0" applyNumberFormat="1" applyFill="1" applyAlignment="1">
      <alignment horizontal="center" vertical="top" wrapText="1"/>
    </xf>
    <xf numFmtId="179" fontId="0" fillId="0" borderId="1" xfId="0" applyNumberFormat="1" applyBorder="1" applyAlignment="1">
      <alignment vertical="center"/>
    </xf>
    <xf numFmtId="178" fontId="0" fillId="0" borderId="3" xfId="0" applyNumberFormat="1" applyBorder="1" applyAlignment="1">
      <alignment horizontal="center" vertical="center"/>
    </xf>
    <xf numFmtId="178" fontId="2" fillId="0" borderId="41" xfId="0" applyNumberFormat="1" applyFont="1" applyFill="1" applyBorder="1" applyAlignment="1">
      <alignment horizontal="center" vertical="center"/>
    </xf>
    <xf numFmtId="178" fontId="0" fillId="0" borderId="33" xfId="0" applyNumberFormat="1" applyBorder="1" applyAlignment="1">
      <alignment horizontal="center" vertical="center"/>
    </xf>
    <xf numFmtId="178" fontId="0" fillId="0" borderId="31" xfId="0" applyNumberFormat="1" applyBorder="1" applyAlignment="1">
      <alignment horizontal="center" vertical="center"/>
    </xf>
    <xf numFmtId="178" fontId="0" fillId="0" borderId="42" xfId="0" applyNumberForma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0" borderId="5" xfId="0" applyNumberFormat="1" applyBorder="1" applyAlignment="1">
      <alignment horizontal="center" vertical="center"/>
    </xf>
    <xf numFmtId="179" fontId="0" fillId="0" borderId="18" xfId="0" applyNumberFormat="1" applyFill="1" applyBorder="1" applyAlignment="1">
      <alignment horizontal="center" vertical="center" wrapText="1"/>
    </xf>
    <xf numFmtId="179" fontId="0" fillId="0" borderId="0" xfId="0" applyNumberFormat="1" applyAlignment="1">
      <alignment vertical="center"/>
    </xf>
    <xf numFmtId="178" fontId="0" fillId="0" borderId="8" xfId="0" applyNumberFormat="1" applyBorder="1" applyAlignment="1">
      <alignment vertical="center"/>
    </xf>
    <xf numFmtId="178" fontId="0" fillId="0" borderId="0" xfId="0" applyNumberFormat="1" applyAlignment="1">
      <alignment vertical="center"/>
    </xf>
    <xf numFmtId="178" fontId="0" fillId="0" borderId="8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17" xfId="0" applyNumberFormat="1" applyBorder="1" applyAlignment="1">
      <alignment horizontal="center" vertical="center"/>
    </xf>
    <xf numFmtId="179" fontId="0" fillId="0" borderId="18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8" fontId="0" fillId="0" borderId="13" xfId="0" applyNumberFormat="1" applyBorder="1" applyAlignment="1">
      <alignment horizontal="center" vertical="center"/>
    </xf>
    <xf numFmtId="178" fontId="0" fillId="0" borderId="17" xfId="0" applyNumberFormat="1" applyBorder="1" applyAlignment="1">
      <alignment horizontal="center" vertical="center"/>
    </xf>
    <xf numFmtId="178" fontId="0" fillId="0" borderId="18" xfId="0" applyNumberForma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8" fontId="5" fillId="0" borderId="43" xfId="0" applyNumberFormat="1" applyFont="1" applyBorder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78" fontId="0" fillId="0" borderId="19" xfId="0" applyNumberFormat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8" fontId="0" fillId="0" borderId="2" xfId="0" applyNumberFormat="1" applyBorder="1" applyAlignment="1">
      <alignment vertical="center"/>
    </xf>
    <xf numFmtId="178" fontId="7" fillId="0" borderId="44" xfId="0" applyNumberFormat="1" applyFont="1" applyBorder="1" applyAlignment="1">
      <alignment horizontal="center" vertical="center"/>
    </xf>
    <xf numFmtId="178" fontId="7" fillId="0" borderId="45" xfId="0" applyNumberFormat="1" applyFon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11" xfId="0" applyNumberFormat="1" applyBorder="1" applyAlignment="1">
      <alignment horizontal="center" vertical="center"/>
    </xf>
    <xf numFmtId="178" fontId="7" fillId="0" borderId="46" xfId="0" applyNumberFormat="1" applyFont="1" applyBorder="1" applyAlignment="1">
      <alignment horizontal="center" vertical="center"/>
    </xf>
    <xf numFmtId="179" fontId="7" fillId="0" borderId="2" xfId="0" applyNumberFormat="1" applyFont="1" applyBorder="1" applyAlignment="1">
      <alignment horizontal="center" vertical="center"/>
    </xf>
    <xf numFmtId="179" fontId="7" fillId="0" borderId="7" xfId="0" applyNumberFormat="1" applyFont="1" applyBorder="1" applyAlignment="1">
      <alignment horizontal="center" vertical="center"/>
    </xf>
    <xf numFmtId="178" fontId="3" fillId="0" borderId="5" xfId="0" applyNumberFormat="1" applyFont="1" applyBorder="1" applyAlignment="1">
      <alignment horizontal="center" vertical="center"/>
    </xf>
    <xf numFmtId="178" fontId="0" fillId="0" borderId="4" xfId="0" applyNumberFormat="1" applyBorder="1" applyAlignment="1">
      <alignment vertical="center"/>
    </xf>
    <xf numFmtId="178" fontId="3" fillId="0" borderId="11" xfId="0" applyNumberFormat="1" applyFont="1" applyBorder="1" applyAlignment="1">
      <alignment horizontal="center" vertical="center"/>
    </xf>
    <xf numFmtId="178" fontId="0" fillId="0" borderId="6" xfId="0" applyNumberFormat="1" applyBorder="1" applyAlignment="1">
      <alignment vertical="center"/>
    </xf>
    <xf numFmtId="178" fontId="0" fillId="0" borderId="11" xfId="0" applyNumberFormat="1" applyBorder="1" applyAlignment="1">
      <alignment vertical="center"/>
    </xf>
    <xf numFmtId="178" fontId="0" fillId="0" borderId="13" xfId="0" applyNumberFormat="1" applyBorder="1" applyAlignment="1">
      <alignment vertical="center"/>
    </xf>
    <xf numFmtId="178" fontId="0" fillId="0" borderId="5" xfId="0" applyNumberFormat="1" applyBorder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G34"/>
  <sheetViews>
    <sheetView zoomScale="88" zoomScaleNormal="88" topLeftCell="BA1" workbookViewId="0">
      <selection activeCell="BN8" sqref="BN8"/>
    </sheetView>
  </sheetViews>
  <sheetFormatPr defaultColWidth="9.81730769230769" defaultRowHeight="16.8"/>
  <cols>
    <col min="1" max="1" width="6" style="181" customWidth="1"/>
    <col min="2" max="2" width="20" style="181" customWidth="1"/>
    <col min="3" max="5" width="10.3076923076923" style="181" customWidth="1"/>
    <col min="6" max="8" width="10.9230769230769" style="181" customWidth="1"/>
    <col min="9" max="9" width="10.3076923076923" style="181" customWidth="1"/>
    <col min="10" max="10" width="8.69230769230769" style="181" customWidth="1"/>
    <col min="11" max="11" width="6" style="181" customWidth="1"/>
    <col min="12" max="12" width="6.69230769230769" style="181" customWidth="1"/>
    <col min="13" max="13" width="12.7692307692308" style="181" customWidth="1"/>
    <col min="14" max="14" width="6.69230769230769" style="181" customWidth="1"/>
    <col min="15" max="15" width="8.15384615384615" style="181" customWidth="1"/>
    <col min="16" max="16" width="6.69230769230769" style="181" customWidth="1"/>
    <col min="17" max="17" width="4.375" style="181" customWidth="1"/>
    <col min="18" max="18" width="6.69230769230769" style="181" customWidth="1"/>
    <col min="19" max="19" width="5.75" style="181" customWidth="1"/>
    <col min="20" max="20" width="7.69230769230769" style="181" customWidth="1"/>
    <col min="21" max="21" width="5.75" style="181" customWidth="1"/>
    <col min="22" max="22" width="7.69230769230769" style="181" customWidth="1"/>
    <col min="23" max="31" width="5.125" style="181" customWidth="1"/>
    <col min="32" max="32" width="5.125" style="183" customWidth="1"/>
    <col min="33" max="38" width="5.125" style="181" customWidth="1"/>
    <col min="39" max="39" width="20" style="181" customWidth="1"/>
    <col min="40" max="40" width="12.7692307692308" style="181" customWidth="1"/>
    <col min="41" max="41" width="6.69230769230769" style="181" customWidth="1"/>
    <col min="42" max="42" width="24.0769230769231" style="181" customWidth="1"/>
    <col min="43" max="43" width="6.69230769230769" style="181" customWidth="1"/>
    <col min="44" max="44" width="10.3076923076923" style="181" customWidth="1"/>
    <col min="45" max="45" width="8.69230769230769" style="181" customWidth="1"/>
    <col min="46" max="46" width="6" style="181" customWidth="1"/>
    <col min="47" max="47" width="6.69230769230769" style="181" customWidth="1"/>
    <col min="48" max="48" width="17.5" style="181" customWidth="1"/>
    <col min="49" max="49" width="8.625" style="181" customWidth="1"/>
    <col min="50" max="50" width="12.7692307692308" style="181" customWidth="1"/>
    <col min="51" max="51" width="7.69230769230769" style="181" customWidth="1"/>
    <col min="52" max="52" width="10.3076923076923" style="181" customWidth="1"/>
    <col min="53" max="53" width="5.69230769230769" style="181" customWidth="1"/>
    <col min="54" max="54" width="5.75" style="181" customWidth="1"/>
    <col min="55" max="55" width="16.875" style="181" customWidth="1"/>
    <col min="56" max="56" width="8.84615384615385" style="181" customWidth="1"/>
    <col min="57" max="57" width="6.69230769230769" style="181" customWidth="1"/>
    <col min="58" max="58" width="7.625" style="181" customWidth="1"/>
    <col min="59" max="59" width="16.875" style="181" customWidth="1"/>
    <col min="60" max="60" width="21.6153846153846" style="181" customWidth="1"/>
    <col min="61" max="61" width="7.69230769230769" style="181" customWidth="1"/>
    <col min="62" max="62" width="15.9230769230769" style="181" customWidth="1"/>
    <col min="63" max="63" width="7.69230769230769" style="181" customWidth="1"/>
    <col min="64" max="65" width="7.625" style="181" customWidth="1"/>
    <col min="66" max="66" width="8.15384615384615" style="181" customWidth="1"/>
    <col min="67" max="67" width="10.3076923076923" style="181" customWidth="1"/>
    <col min="68" max="68" width="8.69230769230769" style="181" customWidth="1"/>
    <col min="69" max="16384" width="8.875" style="181"/>
  </cols>
  <sheetData>
    <row r="1" ht="17.55" spans="21:38">
      <c r="U1" s="197" t="s">
        <v>0</v>
      </c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8"/>
      <c r="AG1" s="198"/>
      <c r="AH1" s="198"/>
      <c r="AI1" s="198"/>
      <c r="AJ1" s="198"/>
      <c r="AK1" s="198"/>
      <c r="AL1" s="201"/>
    </row>
    <row r="2" s="179" customFormat="1" spans="1:67">
      <c r="A2" s="170"/>
      <c r="B2" s="100" t="s">
        <v>1</v>
      </c>
      <c r="C2" s="184">
        <v>43831</v>
      </c>
      <c r="D2" s="185"/>
      <c r="E2" s="184">
        <v>43832</v>
      </c>
      <c r="F2" s="185"/>
      <c r="G2" s="184">
        <v>43833</v>
      </c>
      <c r="H2" s="185"/>
      <c r="I2" s="184">
        <v>43834</v>
      </c>
      <c r="J2" s="185"/>
      <c r="K2" s="184">
        <v>43835</v>
      </c>
      <c r="L2" s="185"/>
      <c r="M2" s="184">
        <v>43836</v>
      </c>
      <c r="N2" s="185"/>
      <c r="O2" s="184">
        <v>43837</v>
      </c>
      <c r="P2" s="185"/>
      <c r="Q2" s="184">
        <v>43838</v>
      </c>
      <c r="R2" s="185"/>
      <c r="S2" s="184">
        <v>43839</v>
      </c>
      <c r="T2" s="185"/>
      <c r="U2" s="199">
        <v>43840</v>
      </c>
      <c r="V2" s="200"/>
      <c r="W2" s="199">
        <v>43841</v>
      </c>
      <c r="X2" s="200"/>
      <c r="Y2" s="199">
        <v>43842</v>
      </c>
      <c r="Z2" s="200"/>
      <c r="AA2" s="199">
        <v>43843</v>
      </c>
      <c r="AB2" s="200"/>
      <c r="AC2" s="199">
        <v>43844</v>
      </c>
      <c r="AD2" s="200"/>
      <c r="AE2" s="199">
        <v>43845</v>
      </c>
      <c r="AF2" s="200"/>
      <c r="AG2" s="199">
        <v>43846</v>
      </c>
      <c r="AH2" s="200"/>
      <c r="AI2" s="199">
        <v>43847</v>
      </c>
      <c r="AJ2" s="200"/>
      <c r="AK2" s="199">
        <v>43848</v>
      </c>
      <c r="AL2" s="199"/>
      <c r="AM2" s="202" t="s">
        <v>2</v>
      </c>
      <c r="AN2" s="184">
        <v>43849</v>
      </c>
      <c r="AO2" s="185"/>
      <c r="AP2" s="184">
        <v>43850</v>
      </c>
      <c r="AQ2" s="185"/>
      <c r="AR2" s="184">
        <v>43851</v>
      </c>
      <c r="AS2" s="185"/>
      <c r="AT2" s="184">
        <v>43852</v>
      </c>
      <c r="AU2" s="185"/>
      <c r="AV2" s="184">
        <v>43853</v>
      </c>
      <c r="AW2" s="185"/>
      <c r="AX2" s="184">
        <v>43854</v>
      </c>
      <c r="AY2" s="185"/>
      <c r="AZ2" s="184">
        <v>43855</v>
      </c>
      <c r="BA2" s="185"/>
      <c r="BB2" s="184">
        <v>43856</v>
      </c>
      <c r="BC2" s="185"/>
      <c r="BD2" s="184">
        <v>43857</v>
      </c>
      <c r="BE2" s="185"/>
      <c r="BF2" s="184">
        <v>43858</v>
      </c>
      <c r="BG2" s="185"/>
      <c r="BH2" s="184">
        <v>43859</v>
      </c>
      <c r="BI2" s="185"/>
      <c r="BJ2" s="184">
        <v>43860</v>
      </c>
      <c r="BK2" s="185"/>
      <c r="BL2" s="184">
        <v>43861</v>
      </c>
      <c r="BM2" s="185"/>
      <c r="BN2" s="184" t="s">
        <v>3</v>
      </c>
      <c r="BO2" s="100" t="s">
        <v>1</v>
      </c>
    </row>
    <row r="3" spans="1:67">
      <c r="A3" s="176" t="s">
        <v>4</v>
      </c>
      <c r="B3" s="103" t="s">
        <v>5</v>
      </c>
      <c r="C3" s="183"/>
      <c r="D3" s="183"/>
      <c r="E3" s="177"/>
      <c r="F3" s="193"/>
      <c r="G3" s="177"/>
      <c r="H3" s="193"/>
      <c r="I3" s="177"/>
      <c r="J3" s="193">
        <v>6.2</v>
      </c>
      <c r="K3" s="177"/>
      <c r="L3" s="193"/>
      <c r="M3" s="177"/>
      <c r="N3" s="193"/>
      <c r="O3" s="177"/>
      <c r="P3" s="193"/>
      <c r="Q3" s="177"/>
      <c r="R3" s="193"/>
      <c r="S3" s="177"/>
      <c r="T3" s="193"/>
      <c r="U3" s="190">
        <v>670</v>
      </c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0"/>
      <c r="AK3" s="190"/>
      <c r="AL3" s="190"/>
      <c r="AM3" s="202"/>
      <c r="AN3" s="183"/>
      <c r="AO3" s="193"/>
      <c r="AP3" s="177"/>
      <c r="AQ3" s="193"/>
      <c r="AR3" s="177"/>
      <c r="AS3" s="193"/>
      <c r="AT3" s="177"/>
      <c r="AU3" s="193"/>
      <c r="AV3" s="177"/>
      <c r="AW3" s="193"/>
      <c r="AX3" s="177"/>
      <c r="AY3" s="193"/>
      <c r="AZ3" s="177"/>
      <c r="BA3" s="193"/>
      <c r="BB3" s="177"/>
      <c r="BC3" s="193"/>
      <c r="BD3" s="177"/>
      <c r="BE3" s="193"/>
      <c r="BF3" s="177"/>
      <c r="BG3" s="193"/>
      <c r="BH3" s="177"/>
      <c r="BI3" s="193"/>
      <c r="BJ3" s="177"/>
      <c r="BK3" s="193"/>
      <c r="BL3" s="177"/>
      <c r="BM3" s="193"/>
      <c r="BN3" s="6">
        <f>SUM(A3:BM6)</f>
        <v>1076.83</v>
      </c>
      <c r="BO3" s="103" t="s">
        <v>5</v>
      </c>
    </row>
    <row r="4" spans="1:67">
      <c r="A4" s="177"/>
      <c r="B4" s="103" t="s">
        <v>6</v>
      </c>
      <c r="C4" s="183"/>
      <c r="D4" s="183"/>
      <c r="E4" s="177"/>
      <c r="F4" s="193">
        <v>13</v>
      </c>
      <c r="G4" s="177"/>
      <c r="H4" s="193">
        <v>12</v>
      </c>
      <c r="I4" s="177"/>
      <c r="J4" s="193"/>
      <c r="K4" s="177"/>
      <c r="L4" s="193">
        <v>28</v>
      </c>
      <c r="M4" s="177"/>
      <c r="N4" s="193">
        <v>10</v>
      </c>
      <c r="O4" s="177"/>
      <c r="P4" s="193">
        <v>12</v>
      </c>
      <c r="Q4" s="177"/>
      <c r="R4" s="193"/>
      <c r="S4" s="177"/>
      <c r="T4" s="193">
        <v>12</v>
      </c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202"/>
      <c r="AN4" s="183"/>
      <c r="AO4" s="193"/>
      <c r="AP4" s="177"/>
      <c r="AQ4" s="193"/>
      <c r="AR4" s="177"/>
      <c r="AS4" s="193"/>
      <c r="AT4" s="177"/>
      <c r="AU4" s="193"/>
      <c r="AX4" s="177"/>
      <c r="AY4" s="193"/>
      <c r="AZ4" s="177"/>
      <c r="BA4" s="193"/>
      <c r="BB4" s="177"/>
      <c r="BC4" s="193"/>
      <c r="BD4" s="177"/>
      <c r="BE4" s="193"/>
      <c r="BF4" s="177"/>
      <c r="BG4" s="193"/>
      <c r="BH4" s="177"/>
      <c r="BI4" s="193"/>
      <c r="BJ4" s="177"/>
      <c r="BK4" s="193"/>
      <c r="BL4" s="177"/>
      <c r="BM4" s="193"/>
      <c r="BN4" s="6"/>
      <c r="BO4" s="103" t="s">
        <v>6</v>
      </c>
    </row>
    <row r="5" spans="1:67">
      <c r="A5" s="177"/>
      <c r="B5" s="103" t="s">
        <v>7</v>
      </c>
      <c r="C5" s="183"/>
      <c r="D5" s="183">
        <v>11.5</v>
      </c>
      <c r="E5" s="177"/>
      <c r="F5" s="193">
        <v>12</v>
      </c>
      <c r="G5" s="177"/>
      <c r="H5" s="193">
        <v>17</v>
      </c>
      <c r="I5" s="177"/>
      <c r="J5" s="193">
        <v>7.5</v>
      </c>
      <c r="K5" s="177"/>
      <c r="L5" s="193">
        <v>12</v>
      </c>
      <c r="M5" s="177"/>
      <c r="N5" s="193">
        <v>22</v>
      </c>
      <c r="O5" s="177"/>
      <c r="P5" s="193">
        <v>34</v>
      </c>
      <c r="Q5" s="177"/>
      <c r="R5" s="193">
        <v>29</v>
      </c>
      <c r="S5" s="177"/>
      <c r="T5" s="193">
        <v>11</v>
      </c>
      <c r="U5" s="190"/>
      <c r="V5" s="190"/>
      <c r="W5" s="190"/>
      <c r="X5" s="190"/>
      <c r="Y5" s="190"/>
      <c r="Z5" s="190"/>
      <c r="AA5" s="190"/>
      <c r="AB5" s="190"/>
      <c r="AC5" s="190"/>
      <c r="AD5" s="190"/>
      <c r="AE5" s="190"/>
      <c r="AF5" s="190"/>
      <c r="AG5" s="190"/>
      <c r="AH5" s="190"/>
      <c r="AI5" s="190"/>
      <c r="AJ5" s="190"/>
      <c r="AK5" s="190"/>
      <c r="AL5" s="190"/>
      <c r="AM5" s="202"/>
      <c r="AN5" s="183"/>
      <c r="AO5" s="193"/>
      <c r="AP5" s="177"/>
      <c r="AQ5" s="193"/>
      <c r="AT5" s="177"/>
      <c r="AU5" s="193"/>
      <c r="AW5" s="208"/>
      <c r="AZ5" s="177"/>
      <c r="BA5" s="193"/>
      <c r="BB5" s="177"/>
      <c r="BC5" s="193"/>
      <c r="BD5" s="177"/>
      <c r="BE5" s="193"/>
      <c r="BF5" s="177"/>
      <c r="BG5" s="193"/>
      <c r="BH5" s="177"/>
      <c r="BI5" s="193"/>
      <c r="BJ5" s="177"/>
      <c r="BK5" s="193"/>
      <c r="BL5" s="177"/>
      <c r="BM5" s="193"/>
      <c r="BN5" s="6"/>
      <c r="BO5" s="103" t="s">
        <v>7</v>
      </c>
    </row>
    <row r="6" spans="1:67">
      <c r="A6" s="186"/>
      <c r="B6" s="104" t="s">
        <v>8</v>
      </c>
      <c r="C6" s="187"/>
      <c r="D6" s="187"/>
      <c r="E6" s="186"/>
      <c r="F6" s="194"/>
      <c r="G6" s="186"/>
      <c r="H6" s="194"/>
      <c r="I6" s="186"/>
      <c r="J6" s="194"/>
      <c r="K6" s="186"/>
      <c r="L6" s="194"/>
      <c r="M6" s="186"/>
      <c r="N6" s="194">
        <v>48.63</v>
      </c>
      <c r="O6" s="186"/>
      <c r="P6" s="194"/>
      <c r="Q6" s="186"/>
      <c r="R6" s="194"/>
      <c r="S6" s="177"/>
      <c r="T6" s="193"/>
      <c r="U6" s="171"/>
      <c r="V6" s="171"/>
      <c r="W6" s="171"/>
      <c r="X6" s="171"/>
      <c r="Y6" s="171"/>
      <c r="Z6" s="171"/>
      <c r="AA6" s="171"/>
      <c r="AB6" s="171"/>
      <c r="AC6" s="171"/>
      <c r="AD6" s="171"/>
      <c r="AE6" s="171"/>
      <c r="AF6" s="171"/>
      <c r="AG6" s="171"/>
      <c r="AH6" s="171"/>
      <c r="AI6" s="171"/>
      <c r="AJ6" s="171"/>
      <c r="AK6" s="171"/>
      <c r="AL6" s="171"/>
      <c r="AM6" s="202"/>
      <c r="AN6" s="187"/>
      <c r="AO6" s="194"/>
      <c r="AP6" s="186"/>
      <c r="AQ6" s="194"/>
      <c r="AR6" s="177"/>
      <c r="AS6" s="194">
        <v>43</v>
      </c>
      <c r="AT6" s="186"/>
      <c r="AU6" s="187"/>
      <c r="AV6" s="205"/>
      <c r="AW6" s="209"/>
      <c r="AX6" s="186" t="s">
        <v>9</v>
      </c>
      <c r="AY6" s="194">
        <v>66</v>
      </c>
      <c r="AZ6" s="186"/>
      <c r="BA6" s="194"/>
      <c r="BB6" s="186"/>
      <c r="BC6" s="194"/>
      <c r="BD6" s="186"/>
      <c r="BE6" s="194"/>
      <c r="BF6" s="186"/>
      <c r="BG6" s="194"/>
      <c r="BH6" s="186"/>
      <c r="BI6" s="194"/>
      <c r="BJ6" s="186"/>
      <c r="BK6" s="194"/>
      <c r="BL6" s="186"/>
      <c r="BM6" s="194"/>
      <c r="BN6" s="6"/>
      <c r="BO6" s="104" t="s">
        <v>8</v>
      </c>
    </row>
    <row r="7" spans="1:68">
      <c r="A7" s="176" t="s">
        <v>10</v>
      </c>
      <c r="B7" s="105" t="s">
        <v>11</v>
      </c>
      <c r="C7" s="188" t="s">
        <v>12</v>
      </c>
      <c r="D7" s="189">
        <v>50</v>
      </c>
      <c r="E7" s="188" t="s">
        <v>12</v>
      </c>
      <c r="F7" s="189">
        <v>50</v>
      </c>
      <c r="G7" s="176"/>
      <c r="H7" s="189"/>
      <c r="I7" s="176"/>
      <c r="J7" s="189"/>
      <c r="K7" s="176"/>
      <c r="L7" s="189"/>
      <c r="M7" s="176" t="s">
        <v>13</v>
      </c>
      <c r="N7" s="189">
        <v>5.5</v>
      </c>
      <c r="O7" s="176"/>
      <c r="P7" s="189"/>
      <c r="Q7" s="176"/>
      <c r="R7" s="189"/>
      <c r="S7" s="176"/>
      <c r="T7" s="188">
        <v>145</v>
      </c>
      <c r="U7" s="176">
        <f>120+943.3</f>
        <v>1063.3</v>
      </c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88"/>
      <c r="AJ7" s="188"/>
      <c r="AK7" s="188"/>
      <c r="AL7" s="189"/>
      <c r="AM7" s="203"/>
      <c r="AN7" s="188"/>
      <c r="AO7" s="189">
        <v>60</v>
      </c>
      <c r="AP7" s="176"/>
      <c r="AQ7" s="188"/>
      <c r="AR7" s="176" t="s">
        <v>14</v>
      </c>
      <c r="AS7" s="189">
        <v>20</v>
      </c>
      <c r="AT7" s="176"/>
      <c r="AU7" s="189"/>
      <c r="AW7" s="208"/>
      <c r="AZ7" s="176"/>
      <c r="BA7" s="189"/>
      <c r="BB7" s="176"/>
      <c r="BC7" s="189"/>
      <c r="BD7" s="176"/>
      <c r="BE7" s="189"/>
      <c r="BF7" s="176"/>
      <c r="BG7" s="189"/>
      <c r="BH7" s="176"/>
      <c r="BI7" s="189"/>
      <c r="BJ7" s="176"/>
      <c r="BK7" s="189"/>
      <c r="BL7" s="176"/>
      <c r="BM7" s="189"/>
      <c r="BN7" s="15">
        <f>SUM(C7:BM7)</f>
        <v>1393.8</v>
      </c>
      <c r="BO7" s="10" t="s">
        <v>11</v>
      </c>
      <c r="BP7"/>
    </row>
    <row r="8" spans="1:68">
      <c r="A8" s="177"/>
      <c r="B8" s="105" t="s">
        <v>15</v>
      </c>
      <c r="C8" s="183"/>
      <c r="D8" s="183"/>
      <c r="E8" s="195"/>
      <c r="F8" s="193"/>
      <c r="G8" s="177"/>
      <c r="H8" s="193"/>
      <c r="I8" s="177"/>
      <c r="J8" s="193"/>
      <c r="K8" s="183"/>
      <c r="L8" s="183"/>
      <c r="M8" s="177"/>
      <c r="N8" s="193"/>
      <c r="O8" s="177"/>
      <c r="P8" s="193"/>
      <c r="Q8" s="177"/>
      <c r="R8" s="193"/>
      <c r="S8" s="177"/>
      <c r="T8" s="183"/>
      <c r="U8" s="177"/>
      <c r="V8" s="183"/>
      <c r="W8" s="183"/>
      <c r="X8" s="183"/>
      <c r="Y8" s="183"/>
      <c r="Z8" s="183"/>
      <c r="AA8" s="183"/>
      <c r="AB8" s="183"/>
      <c r="AC8" s="183"/>
      <c r="AD8" s="183"/>
      <c r="AE8" s="183"/>
      <c r="AG8" s="183"/>
      <c r="AH8" s="183"/>
      <c r="AI8" s="183"/>
      <c r="AJ8" s="183"/>
      <c r="AK8" s="183"/>
      <c r="AL8" s="193"/>
      <c r="AM8" s="203"/>
      <c r="AN8" s="183"/>
      <c r="AO8" s="193"/>
      <c r="AP8" s="177"/>
      <c r="AQ8" s="195"/>
      <c r="AR8" s="177"/>
      <c r="AS8" s="193"/>
      <c r="AT8" s="177"/>
      <c r="AU8" s="193"/>
      <c r="AZ8" s="177"/>
      <c r="BA8" s="193"/>
      <c r="BB8" s="177"/>
      <c r="BC8" s="183"/>
      <c r="BD8" s="177"/>
      <c r="BE8" s="193"/>
      <c r="BF8" s="183"/>
      <c r="BG8" s="193"/>
      <c r="BH8" s="177"/>
      <c r="BI8" s="193"/>
      <c r="BJ8" s="177"/>
      <c r="BK8" s="193"/>
      <c r="BL8" s="177"/>
      <c r="BM8" s="193"/>
      <c r="BN8" s="15">
        <f>SUM(C8:BM8)</f>
        <v>0</v>
      </c>
      <c r="BO8" s="10" t="s">
        <v>15</v>
      </c>
      <c r="BP8"/>
    </row>
    <row r="9" spans="1:68">
      <c r="A9" s="177"/>
      <c r="B9" s="106" t="s">
        <v>16</v>
      </c>
      <c r="C9" s="183"/>
      <c r="D9" s="183"/>
      <c r="E9" s="177"/>
      <c r="F9" s="193"/>
      <c r="G9" s="177"/>
      <c r="H9" s="193"/>
      <c r="I9" s="177"/>
      <c r="J9" s="193"/>
      <c r="M9" s="177"/>
      <c r="N9" s="193"/>
      <c r="O9" s="177"/>
      <c r="P9" s="193"/>
      <c r="Q9" s="177"/>
      <c r="R9" s="193"/>
      <c r="S9" s="177"/>
      <c r="T9" s="183"/>
      <c r="U9" s="177"/>
      <c r="V9" s="183"/>
      <c r="W9" s="183"/>
      <c r="X9" s="183"/>
      <c r="Y9" s="183"/>
      <c r="Z9" s="183"/>
      <c r="AA9" s="183"/>
      <c r="AB9" s="183"/>
      <c r="AC9" s="183"/>
      <c r="AD9" s="183"/>
      <c r="AE9" s="183"/>
      <c r="AG9" s="183"/>
      <c r="AH9" s="183"/>
      <c r="AI9" s="183"/>
      <c r="AJ9" s="183"/>
      <c r="AK9" s="183"/>
      <c r="AL9" s="193"/>
      <c r="AM9" s="203"/>
      <c r="AN9" s="183"/>
      <c r="AO9" s="193"/>
      <c r="AP9" s="177"/>
      <c r="AQ9" s="193"/>
      <c r="AR9" s="177"/>
      <c r="AS9" s="193"/>
      <c r="AT9" s="177"/>
      <c r="AU9" s="193"/>
      <c r="AX9" s="177" t="s">
        <v>17</v>
      </c>
      <c r="AY9" s="193">
        <v>25</v>
      </c>
      <c r="AZ9" s="177" t="s">
        <v>17</v>
      </c>
      <c r="BA9" s="193">
        <v>9</v>
      </c>
      <c r="BB9" s="177"/>
      <c r="BC9" s="183"/>
      <c r="BD9" s="177" t="s">
        <v>18</v>
      </c>
      <c r="BE9" s="193">
        <v>31.7</v>
      </c>
      <c r="BF9" s="183"/>
      <c r="BG9" s="193"/>
      <c r="BH9" s="177" t="s">
        <v>19</v>
      </c>
      <c r="BI9" s="193">
        <v>178.1</v>
      </c>
      <c r="BJ9" s="177" t="s">
        <v>20</v>
      </c>
      <c r="BK9" s="193">
        <v>190</v>
      </c>
      <c r="BL9" s="177"/>
      <c r="BM9" s="193"/>
      <c r="BN9" s="15">
        <f t="shared" ref="BN9:BN20" si="0">SUM(C9:BM9)</f>
        <v>433.8</v>
      </c>
      <c r="BO9" s="10" t="s">
        <v>16</v>
      </c>
      <c r="BP9"/>
    </row>
    <row r="10" spans="1:68">
      <c r="A10" s="177"/>
      <c r="B10" s="107" t="s">
        <v>21</v>
      </c>
      <c r="C10" s="183"/>
      <c r="D10" s="183"/>
      <c r="E10" s="177"/>
      <c r="F10" s="193"/>
      <c r="G10" s="177" t="s">
        <v>22</v>
      </c>
      <c r="H10" s="193">
        <v>6</v>
      </c>
      <c r="I10" s="177"/>
      <c r="J10" s="193"/>
      <c r="M10" s="177"/>
      <c r="N10" s="193"/>
      <c r="O10" s="177"/>
      <c r="P10" s="193"/>
      <c r="Q10" s="177"/>
      <c r="R10" s="193"/>
      <c r="S10" s="177"/>
      <c r="T10" s="183"/>
      <c r="U10" s="177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G10" s="183"/>
      <c r="AH10" s="183"/>
      <c r="AI10" s="183"/>
      <c r="AJ10" s="183"/>
      <c r="AK10" s="183"/>
      <c r="AL10" s="193"/>
      <c r="AM10" s="203"/>
      <c r="AN10" s="183"/>
      <c r="AO10" s="193"/>
      <c r="AP10" s="177" t="s">
        <v>23</v>
      </c>
      <c r="AQ10" s="193">
        <f>12+16</f>
        <v>28</v>
      </c>
      <c r="AR10" s="204"/>
      <c r="AS10" s="206"/>
      <c r="AT10" s="177"/>
      <c r="AU10" s="193"/>
      <c r="AX10" s="210"/>
      <c r="AZ10" s="177" t="s">
        <v>24</v>
      </c>
      <c r="BA10" s="193">
        <v>4</v>
      </c>
      <c r="BB10" s="177"/>
      <c r="BC10" s="193"/>
      <c r="BD10" s="183"/>
      <c r="BE10" s="193"/>
      <c r="BF10" s="177"/>
      <c r="BG10" s="183"/>
      <c r="BH10" s="177" t="s">
        <v>25</v>
      </c>
      <c r="BI10" s="193">
        <f>18.5+8</f>
        <v>26.5</v>
      </c>
      <c r="BJ10" s="183"/>
      <c r="BK10" s="193"/>
      <c r="BL10" s="177"/>
      <c r="BM10" s="193"/>
      <c r="BN10" s="15">
        <f t="shared" si="0"/>
        <v>64.5</v>
      </c>
      <c r="BO10" s="10" t="s">
        <v>21</v>
      </c>
      <c r="BP10"/>
    </row>
    <row r="11" spans="1:68">
      <c r="A11" s="177"/>
      <c r="B11" s="107" t="s">
        <v>26</v>
      </c>
      <c r="C11" s="183"/>
      <c r="D11" s="183"/>
      <c r="E11" s="177"/>
      <c r="F11" s="193"/>
      <c r="G11" s="177"/>
      <c r="H11" s="193"/>
      <c r="I11" s="177"/>
      <c r="J11" s="193"/>
      <c r="K11" s="177" t="s">
        <v>27</v>
      </c>
      <c r="L11" s="193">
        <v>15</v>
      </c>
      <c r="M11" s="177"/>
      <c r="N11" s="193"/>
      <c r="O11" s="177"/>
      <c r="P11" s="193"/>
      <c r="Q11" s="177"/>
      <c r="R11" s="193"/>
      <c r="S11" s="177"/>
      <c r="T11" s="183"/>
      <c r="U11" s="177">
        <v>570</v>
      </c>
      <c r="V11" s="183"/>
      <c r="W11" s="183"/>
      <c r="X11" s="183"/>
      <c r="Y11" s="183"/>
      <c r="Z11" s="183"/>
      <c r="AA11" s="183"/>
      <c r="AB11" s="183"/>
      <c r="AC11" s="183"/>
      <c r="AD11" s="183"/>
      <c r="AE11" s="183"/>
      <c r="AG11" s="183"/>
      <c r="AH11" s="183"/>
      <c r="AI11" s="183"/>
      <c r="AJ11" s="183"/>
      <c r="AK11" s="183"/>
      <c r="AL11" s="193"/>
      <c r="AM11" s="203"/>
      <c r="AN11" s="183"/>
      <c r="AO11" s="193"/>
      <c r="AP11" s="177"/>
      <c r="AQ11" s="193"/>
      <c r="AR11" s="177" t="s">
        <v>28</v>
      </c>
      <c r="AS11" s="193">
        <v>156</v>
      </c>
      <c r="AT11" s="177"/>
      <c r="AU11" s="193"/>
      <c r="AX11" s="177"/>
      <c r="AY11" s="193"/>
      <c r="AZ11" s="177"/>
      <c r="BA11" s="193"/>
      <c r="BB11" s="177"/>
      <c r="BC11" s="193"/>
      <c r="BD11" s="177"/>
      <c r="BE11" s="193"/>
      <c r="BF11" s="177"/>
      <c r="BG11" s="193"/>
      <c r="BH11" s="177"/>
      <c r="BI11" s="193"/>
      <c r="BJ11" s="177"/>
      <c r="BK11" s="193"/>
      <c r="BL11" s="177"/>
      <c r="BM11" s="193"/>
      <c r="BN11" s="15">
        <f t="shared" si="0"/>
        <v>741</v>
      </c>
      <c r="BO11" s="10" t="s">
        <v>26</v>
      </c>
      <c r="BP11"/>
    </row>
    <row r="12" spans="1:68">
      <c r="A12" s="177"/>
      <c r="B12" s="107" t="s">
        <v>29</v>
      </c>
      <c r="C12" s="183"/>
      <c r="D12" s="183"/>
      <c r="E12" s="177"/>
      <c r="F12" s="193"/>
      <c r="G12" s="177"/>
      <c r="H12" s="193"/>
      <c r="I12" s="177"/>
      <c r="J12" s="193"/>
      <c r="K12" s="177"/>
      <c r="L12" s="193"/>
      <c r="M12" s="177"/>
      <c r="N12" s="193"/>
      <c r="O12" s="177"/>
      <c r="P12" s="193"/>
      <c r="Q12" s="177"/>
      <c r="R12" s="193"/>
      <c r="S12" s="177"/>
      <c r="T12" s="183"/>
      <c r="U12" s="186">
        <v>257.73</v>
      </c>
      <c r="V12" s="187"/>
      <c r="W12" s="187"/>
      <c r="X12" s="187"/>
      <c r="Y12" s="187"/>
      <c r="Z12" s="187"/>
      <c r="AA12" s="187"/>
      <c r="AB12" s="187"/>
      <c r="AC12" s="187"/>
      <c r="AD12" s="187"/>
      <c r="AE12" s="187"/>
      <c r="AF12" s="187"/>
      <c r="AG12" s="187"/>
      <c r="AH12" s="187"/>
      <c r="AI12" s="187"/>
      <c r="AJ12" s="187"/>
      <c r="AK12" s="187"/>
      <c r="AL12" s="194"/>
      <c r="AM12" s="203"/>
      <c r="AN12" s="183"/>
      <c r="AO12" s="193"/>
      <c r="AP12" s="177"/>
      <c r="AQ12" s="193"/>
      <c r="AR12" s="177"/>
      <c r="AS12" s="193"/>
      <c r="AT12" s="177"/>
      <c r="AU12" s="193"/>
      <c r="AX12" s="177"/>
      <c r="AY12" s="193"/>
      <c r="AZ12" s="177"/>
      <c r="BA12" s="193"/>
      <c r="BB12" s="177"/>
      <c r="BC12" s="193"/>
      <c r="BD12" s="177"/>
      <c r="BE12" s="193"/>
      <c r="BF12" s="177"/>
      <c r="BG12" s="193"/>
      <c r="BH12" s="177"/>
      <c r="BI12" s="193"/>
      <c r="BJ12" s="177"/>
      <c r="BK12" s="193"/>
      <c r="BL12" s="177"/>
      <c r="BM12" s="193"/>
      <c r="BN12" s="15">
        <f t="shared" si="0"/>
        <v>257.73</v>
      </c>
      <c r="BO12" s="10" t="s">
        <v>29</v>
      </c>
      <c r="BP12"/>
    </row>
    <row r="13" s="180" customFormat="1" spans="1:163">
      <c r="A13" s="167" t="s">
        <v>30</v>
      </c>
      <c r="B13" s="108" t="s">
        <v>31</v>
      </c>
      <c r="C13" s="182"/>
      <c r="D13" s="182"/>
      <c r="E13" s="167"/>
      <c r="F13" s="192"/>
      <c r="G13" s="192" t="s">
        <v>32</v>
      </c>
      <c r="H13" s="190">
        <v>8</v>
      </c>
      <c r="I13" s="190"/>
      <c r="J13" s="190"/>
      <c r="K13" s="190"/>
      <c r="L13" s="167"/>
      <c r="M13" s="190"/>
      <c r="N13" s="167"/>
      <c r="O13" s="190" t="s">
        <v>33</v>
      </c>
      <c r="P13" s="167">
        <v>3</v>
      </c>
      <c r="Q13" s="190"/>
      <c r="R13" s="167"/>
      <c r="S13" s="190"/>
      <c r="T13" s="167"/>
      <c r="U13" s="174">
        <v>50</v>
      </c>
      <c r="V13" s="174"/>
      <c r="W13" s="174"/>
      <c r="X13" s="174"/>
      <c r="Y13" s="174"/>
      <c r="Z13" s="174"/>
      <c r="AA13" s="174"/>
      <c r="AB13" s="174"/>
      <c r="AC13" s="174"/>
      <c r="AD13" s="174"/>
      <c r="AE13" s="174"/>
      <c r="AF13" s="174"/>
      <c r="AG13" s="174"/>
      <c r="AH13" s="174"/>
      <c r="AI13" s="174"/>
      <c r="AJ13" s="174"/>
      <c r="AK13" s="174"/>
      <c r="AL13" s="174"/>
      <c r="AM13" s="202"/>
      <c r="AN13" s="192"/>
      <c r="AO13" s="167"/>
      <c r="AP13" s="190"/>
      <c r="AQ13" s="167">
        <v>2.88</v>
      </c>
      <c r="AR13" s="190"/>
      <c r="AS13" s="167"/>
      <c r="AT13" s="190" t="s">
        <v>34</v>
      </c>
      <c r="AU13" s="167">
        <v>19</v>
      </c>
      <c r="AV13" s="207"/>
      <c r="AX13" s="190"/>
      <c r="AY13" s="167">
        <v>1.11</v>
      </c>
      <c r="AZ13" s="190"/>
      <c r="BA13" s="167"/>
      <c r="BB13" s="190"/>
      <c r="BC13" s="167"/>
      <c r="BD13" s="196"/>
      <c r="BE13" s="196"/>
      <c r="BF13" s="190"/>
      <c r="BG13" s="167"/>
      <c r="BH13" s="190"/>
      <c r="BI13" s="167"/>
      <c r="BJ13" s="190"/>
      <c r="BK13" s="167"/>
      <c r="BL13" s="190"/>
      <c r="BM13" s="167"/>
      <c r="BN13" s="6">
        <f t="shared" si="0"/>
        <v>83.99</v>
      </c>
      <c r="BO13" s="108" t="s">
        <v>31</v>
      </c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</row>
    <row r="14" s="180" customFormat="1" spans="1:163">
      <c r="A14" s="167" t="s">
        <v>35</v>
      </c>
      <c r="B14" s="108" t="s">
        <v>36</v>
      </c>
      <c r="C14" s="182"/>
      <c r="D14" s="182"/>
      <c r="E14" s="167"/>
      <c r="F14" s="192"/>
      <c r="G14" s="192"/>
      <c r="H14" s="190"/>
      <c r="I14" s="190"/>
      <c r="J14" s="190"/>
      <c r="K14" s="190"/>
      <c r="L14" s="167"/>
      <c r="M14" s="190"/>
      <c r="N14" s="167"/>
      <c r="O14" s="190"/>
      <c r="P14" s="167"/>
      <c r="Q14" s="190"/>
      <c r="R14" s="167"/>
      <c r="S14" s="190"/>
      <c r="T14" s="167"/>
      <c r="U14" s="190"/>
      <c r="V14" s="190"/>
      <c r="W14" s="190"/>
      <c r="X14" s="190"/>
      <c r="Y14" s="190"/>
      <c r="Z14" s="190"/>
      <c r="AA14" s="190"/>
      <c r="AB14" s="190"/>
      <c r="AC14" s="190"/>
      <c r="AD14" s="190"/>
      <c r="AE14" s="190"/>
      <c r="AF14" s="190"/>
      <c r="AG14" s="190"/>
      <c r="AH14" s="190"/>
      <c r="AI14" s="190"/>
      <c r="AJ14" s="190"/>
      <c r="AK14" s="190"/>
      <c r="AL14" s="190"/>
      <c r="AM14" s="202"/>
      <c r="AN14" s="192"/>
      <c r="AO14" s="167"/>
      <c r="AP14" s="190"/>
      <c r="AQ14" s="167"/>
      <c r="AR14" s="190"/>
      <c r="AS14" s="167"/>
      <c r="AT14" s="190"/>
      <c r="AU14" s="167"/>
      <c r="AV14" s="190"/>
      <c r="AW14" s="167"/>
      <c r="AX14" s="177" t="s">
        <v>37</v>
      </c>
      <c r="AY14" s="193">
        <f>166.7+62.9</f>
        <v>229.6</v>
      </c>
      <c r="AZ14" s="190"/>
      <c r="BA14" s="167"/>
      <c r="BB14" s="190"/>
      <c r="BC14" s="167"/>
      <c r="BD14" s="190"/>
      <c r="BE14" s="167"/>
      <c r="BF14" s="190"/>
      <c r="BG14" s="167"/>
      <c r="BH14" s="190"/>
      <c r="BI14" s="167"/>
      <c r="BJ14" s="190"/>
      <c r="BK14" s="167"/>
      <c r="BL14" s="190"/>
      <c r="BM14" s="167"/>
      <c r="BN14" s="6">
        <f t="shared" si="0"/>
        <v>229.6</v>
      </c>
      <c r="BO14" s="108" t="s">
        <v>36</v>
      </c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</row>
    <row r="15" s="180" customFormat="1" spans="1:163">
      <c r="A15" s="167" t="s">
        <v>38</v>
      </c>
      <c r="B15" s="108" t="s">
        <v>39</v>
      </c>
      <c r="C15" s="182"/>
      <c r="D15" s="182"/>
      <c r="E15" s="167"/>
      <c r="F15" s="192"/>
      <c r="G15" s="192"/>
      <c r="H15" s="190"/>
      <c r="I15" s="190"/>
      <c r="J15" s="190"/>
      <c r="K15" s="190"/>
      <c r="L15" s="167"/>
      <c r="M15" s="190"/>
      <c r="N15" s="167"/>
      <c r="O15" s="190"/>
      <c r="P15" s="167"/>
      <c r="Q15" s="190"/>
      <c r="R15" s="167"/>
      <c r="S15" s="190"/>
      <c r="T15" s="167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202"/>
      <c r="AN15" s="192"/>
      <c r="AO15" s="167"/>
      <c r="AP15" s="190"/>
      <c r="AQ15" s="167"/>
      <c r="AR15" s="190" t="s">
        <v>40</v>
      </c>
      <c r="AS15" s="167">
        <v>1600</v>
      </c>
      <c r="AT15" s="190"/>
      <c r="AU15" s="167"/>
      <c r="AV15" s="190"/>
      <c r="AW15" s="167"/>
      <c r="AX15" s="190" t="s">
        <v>41</v>
      </c>
      <c r="AY15" s="167">
        <f>105+29</f>
        <v>134</v>
      </c>
      <c r="AZ15" s="190"/>
      <c r="BA15" s="167"/>
      <c r="BB15" s="190"/>
      <c r="BC15" s="167"/>
      <c r="BD15" s="190"/>
      <c r="BE15" s="167"/>
      <c r="BF15" s="190"/>
      <c r="BG15" s="167"/>
      <c r="BH15" s="190"/>
      <c r="BI15" s="167"/>
      <c r="BJ15" s="190"/>
      <c r="BK15" s="167"/>
      <c r="BL15" s="190"/>
      <c r="BM15" s="167"/>
      <c r="BN15" s="6">
        <f t="shared" si="0"/>
        <v>1734</v>
      </c>
      <c r="BO15" s="108" t="s">
        <v>39</v>
      </c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</row>
    <row r="16" s="180" customFormat="1" spans="1:163">
      <c r="A16" s="167" t="s">
        <v>42</v>
      </c>
      <c r="B16" s="108" t="s">
        <v>43</v>
      </c>
      <c r="C16" s="190" t="s">
        <v>44</v>
      </c>
      <c r="D16" s="190">
        <v>1.45</v>
      </c>
      <c r="E16" s="190"/>
      <c r="F16" s="190"/>
      <c r="G16" s="190"/>
      <c r="H16" s="192"/>
      <c r="I16" s="190"/>
      <c r="J16" s="190"/>
      <c r="K16" s="190"/>
      <c r="L16" s="167"/>
      <c r="M16" s="190"/>
      <c r="N16" s="167"/>
      <c r="O16" s="190"/>
      <c r="P16" s="167"/>
      <c r="Q16" s="190"/>
      <c r="R16" s="167"/>
      <c r="S16" s="190"/>
      <c r="T16" s="167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202"/>
      <c r="AN16" s="192"/>
      <c r="AO16" s="167"/>
      <c r="AP16" s="190"/>
      <c r="AQ16" s="167"/>
      <c r="AR16" s="190"/>
      <c r="AS16" s="167"/>
      <c r="AT16" s="190"/>
      <c r="AU16" s="167"/>
      <c r="AV16" s="190"/>
      <c r="AW16" s="167"/>
      <c r="AX16" s="190"/>
      <c r="AY16" s="167"/>
      <c r="AZ16" s="190"/>
      <c r="BA16" s="167"/>
      <c r="BB16" s="190"/>
      <c r="BC16" s="167"/>
      <c r="BD16" s="190"/>
      <c r="BE16" s="167"/>
      <c r="BF16" s="190"/>
      <c r="BG16" s="167"/>
      <c r="BH16" s="190"/>
      <c r="BI16" s="167"/>
      <c r="BJ16" s="190"/>
      <c r="BK16" s="167"/>
      <c r="BL16" s="190"/>
      <c r="BM16" s="167"/>
      <c r="BN16" s="6">
        <f t="shared" si="0"/>
        <v>1.45</v>
      </c>
      <c r="BO16" s="108" t="s">
        <v>43</v>
      </c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</row>
    <row r="17" s="181" customFormat="1" spans="1:163">
      <c r="A17" s="183" t="s">
        <v>45</v>
      </c>
      <c r="B17" s="10" t="s">
        <v>46</v>
      </c>
      <c r="C17" s="190"/>
      <c r="D17" s="190"/>
      <c r="E17" s="190"/>
      <c r="F17" s="190"/>
      <c r="G17" s="190"/>
      <c r="H17" s="192"/>
      <c r="I17" s="190"/>
      <c r="J17" s="192"/>
      <c r="K17" s="190"/>
      <c r="L17" s="192"/>
      <c r="M17" s="190"/>
      <c r="N17" s="192"/>
      <c r="O17" s="190"/>
      <c r="P17" s="192"/>
      <c r="Q17" s="190"/>
      <c r="R17" s="192"/>
      <c r="S17" s="190"/>
      <c r="T17" s="192"/>
      <c r="U17" s="190"/>
      <c r="V17" s="192"/>
      <c r="W17" s="190"/>
      <c r="X17" s="192"/>
      <c r="Y17" s="190"/>
      <c r="Z17" s="192"/>
      <c r="AA17" s="190"/>
      <c r="AB17" s="192"/>
      <c r="AC17" s="190"/>
      <c r="AD17" s="192"/>
      <c r="AE17" s="190"/>
      <c r="AF17" s="192"/>
      <c r="AG17" s="190"/>
      <c r="AH17" s="192"/>
      <c r="AI17" s="190"/>
      <c r="AJ17" s="192"/>
      <c r="AK17" s="190"/>
      <c r="AL17" s="192"/>
      <c r="AM17" s="190"/>
      <c r="AN17" s="192"/>
      <c r="AO17" s="190"/>
      <c r="AP17" s="192"/>
      <c r="AQ17" s="190"/>
      <c r="AR17" s="192"/>
      <c r="AS17" s="190"/>
      <c r="AT17" s="192"/>
      <c r="AU17" s="190"/>
      <c r="AV17" s="192"/>
      <c r="AW17" s="190"/>
      <c r="AX17" s="192"/>
      <c r="AY17" s="190"/>
      <c r="AZ17" s="192"/>
      <c r="BA17" s="190"/>
      <c r="BB17" s="192"/>
      <c r="BC17" s="190"/>
      <c r="BD17" s="192"/>
      <c r="BE17" s="190"/>
      <c r="BF17" s="192"/>
      <c r="BG17" s="190"/>
      <c r="BH17" s="192"/>
      <c r="BI17" s="190"/>
      <c r="BJ17" s="192"/>
      <c r="BK17" s="190"/>
      <c r="BL17" s="192"/>
      <c r="BM17" s="190"/>
      <c r="BN17" s="6">
        <f t="shared" si="0"/>
        <v>0</v>
      </c>
      <c r="BO17" s="10" t="s">
        <v>46</v>
      </c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</row>
    <row r="18" spans="2:163">
      <c r="B18" s="191" t="s">
        <v>47</v>
      </c>
      <c r="C18" s="182">
        <f>SUM(C3:D16)</f>
        <v>62.95</v>
      </c>
      <c r="D18" s="192"/>
      <c r="E18" s="167">
        <f>SUM(E3:F16)</f>
        <v>75</v>
      </c>
      <c r="F18" s="192"/>
      <c r="G18" s="167">
        <f>SUM(G3:H16)</f>
        <v>43</v>
      </c>
      <c r="H18" s="192"/>
      <c r="I18" s="167">
        <f>SUM(I3:J16)</f>
        <v>13.7</v>
      </c>
      <c r="J18" s="192"/>
      <c r="K18" s="167">
        <f>SUM(K3:L16)</f>
        <v>55</v>
      </c>
      <c r="L18" s="192"/>
      <c r="M18" s="167">
        <f>SUM(M3:N16)</f>
        <v>86.13</v>
      </c>
      <c r="N18" s="192"/>
      <c r="O18" s="167">
        <f>SUM(O3:P16)</f>
        <v>49</v>
      </c>
      <c r="P18" s="192"/>
      <c r="Q18" s="167">
        <f>SUM(Q3:R16)</f>
        <v>29</v>
      </c>
      <c r="R18" s="192"/>
      <c r="S18" s="167">
        <f>SUM(S3:T16)</f>
        <v>168</v>
      </c>
      <c r="T18" s="192"/>
      <c r="U18" s="167">
        <f>SUM(U3:AL16)</f>
        <v>2611.03</v>
      </c>
      <c r="V18" s="192"/>
      <c r="W18" s="167"/>
      <c r="X18" s="192"/>
      <c r="Y18" s="167"/>
      <c r="Z18" s="192"/>
      <c r="AA18" s="167"/>
      <c r="AB18" s="192"/>
      <c r="AC18" s="167"/>
      <c r="AD18" s="192"/>
      <c r="AE18" s="167"/>
      <c r="AF18" s="192"/>
      <c r="AG18" s="167"/>
      <c r="AH18" s="192"/>
      <c r="AI18" s="167"/>
      <c r="AJ18" s="192"/>
      <c r="AK18" s="167"/>
      <c r="AL18" s="182"/>
      <c r="AM18" s="202"/>
      <c r="AN18" s="182">
        <f>SUM(AN3:AO16)</f>
        <v>60</v>
      </c>
      <c r="AO18" s="192"/>
      <c r="AP18" s="167">
        <f>SUM(AP3:AQ16)</f>
        <v>30.88</v>
      </c>
      <c r="AQ18" s="192"/>
      <c r="AR18" s="167">
        <f>SUM(AR3:AS16)</f>
        <v>1819</v>
      </c>
      <c r="AS18" s="192"/>
      <c r="AT18" s="167">
        <f>SUM(AT3:AU16)</f>
        <v>19</v>
      </c>
      <c r="AU18" s="192"/>
      <c r="AV18" s="167">
        <f>SUM(AV3:AW16)</f>
        <v>0</v>
      </c>
      <c r="AW18" s="192"/>
      <c r="AX18" s="167">
        <f>SUM(AX3:AY16)</f>
        <v>455.71</v>
      </c>
      <c r="AY18" s="192"/>
      <c r="AZ18" s="167">
        <f>SUM(AZ3:BA16)</f>
        <v>13</v>
      </c>
      <c r="BA18" s="192"/>
      <c r="BB18" s="167">
        <f>SUM(BB3:BC16)</f>
        <v>0</v>
      </c>
      <c r="BC18" s="192"/>
      <c r="BD18" s="167">
        <f>SUM(BD3:BE16)</f>
        <v>31.7</v>
      </c>
      <c r="BE18" s="192"/>
      <c r="BF18" s="167">
        <f>SUM(BF3:BG16)</f>
        <v>0</v>
      </c>
      <c r="BG18" s="192"/>
      <c r="BH18" s="167">
        <f>SUM(BH3:BI16)</f>
        <v>204.6</v>
      </c>
      <c r="BI18" s="192"/>
      <c r="BJ18" s="167">
        <f>SUM(BJ3:BK16)</f>
        <v>190</v>
      </c>
      <c r="BK18" s="192"/>
      <c r="BL18" s="167">
        <f>SUM(BL3:BM16)</f>
        <v>0</v>
      </c>
      <c r="BM18" s="192"/>
      <c r="BN18" s="6">
        <f t="shared" si="0"/>
        <v>6016.7</v>
      </c>
      <c r="BO18" s="191" t="s">
        <v>47</v>
      </c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</row>
    <row r="19" s="182" customFormat="1" spans="1:163">
      <c r="A19" s="190" t="s">
        <v>48</v>
      </c>
      <c r="B19" s="190" t="s">
        <v>49</v>
      </c>
      <c r="C19" s="49"/>
      <c r="D19" s="49"/>
      <c r="E19" s="49"/>
      <c r="F19" s="49"/>
      <c r="G19" s="49"/>
      <c r="H19" s="49"/>
      <c r="I19" s="49" t="s">
        <v>50</v>
      </c>
      <c r="J19" s="49">
        <v>240</v>
      </c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6">
        <f t="shared" si="0"/>
        <v>240</v>
      </c>
      <c r="BO19" s="190" t="s">
        <v>49</v>
      </c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</row>
    <row r="20" s="183" customFormat="1" spans="2:67">
      <c r="B20" s="10" t="s">
        <v>51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6">
        <f t="shared" si="0"/>
        <v>0</v>
      </c>
      <c r="BO20" s="10" t="s">
        <v>51</v>
      </c>
    </row>
    <row r="21" s="183" customFormat="1" spans="2:64">
      <c r="B21"/>
      <c r="C21"/>
      <c r="D21"/>
      <c r="E21"/>
      <c r="F21"/>
      <c r="G21"/>
      <c r="H21"/>
      <c r="I21"/>
      <c r="J21"/>
      <c r="K21"/>
      <c r="L21" s="129"/>
      <c r="M21" s="129"/>
      <c r="N21" s="129"/>
      <c r="O21" s="129"/>
      <c r="P21" s="129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</row>
    <row r="22" spans="2:66">
      <c r="B22" s="10" t="s">
        <v>52</v>
      </c>
      <c r="C22" s="10" t="s">
        <v>53</v>
      </c>
      <c r="D22" s="10" t="s">
        <v>54</v>
      </c>
      <c r="E22" s="10" t="s">
        <v>54</v>
      </c>
      <c r="F22" s="10" t="s">
        <v>55</v>
      </c>
      <c r="G22" s="10" t="s">
        <v>54</v>
      </c>
      <c r="H22" s="10" t="s">
        <v>54</v>
      </c>
      <c r="I22" s="196" t="s">
        <v>56</v>
      </c>
      <c r="J22" s="10" t="s">
        <v>47</v>
      </c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BE22"/>
      <c r="BF22"/>
      <c r="BG22"/>
      <c r="BH22"/>
      <c r="BI22"/>
      <c r="BJ22"/>
      <c r="BK22"/>
      <c r="BL22"/>
      <c r="BM22"/>
      <c r="BN22"/>
    </row>
    <row r="23" spans="2:66">
      <c r="B23" s="2" t="s">
        <v>57</v>
      </c>
      <c r="C23" s="2">
        <v>43831</v>
      </c>
      <c r="D23" s="119">
        <v>43835</v>
      </c>
      <c r="E23" s="119">
        <v>43837</v>
      </c>
      <c r="F23" s="119">
        <v>43846</v>
      </c>
      <c r="G23" s="119">
        <v>43849</v>
      </c>
      <c r="H23" s="119">
        <v>43861</v>
      </c>
      <c r="I23" s="119" t="s">
        <v>58</v>
      </c>
      <c r="J23" s="2" t="s">
        <v>59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BE23"/>
      <c r="BF23"/>
      <c r="BG23"/>
      <c r="BH23"/>
      <c r="BI23"/>
      <c r="BJ23"/>
      <c r="BK23"/>
      <c r="BL23"/>
      <c r="BM23"/>
      <c r="BN23"/>
    </row>
    <row r="24" spans="2:66">
      <c r="B24" s="54" t="s">
        <v>60</v>
      </c>
      <c r="C24" s="113">
        <v>1233.69</v>
      </c>
      <c r="D24" s="120">
        <v>1000</v>
      </c>
      <c r="E24" s="120">
        <v>500</v>
      </c>
      <c r="F24" s="120">
        <v>600</v>
      </c>
      <c r="G24" s="120">
        <v>600</v>
      </c>
      <c r="H24" s="120">
        <v>1000</v>
      </c>
      <c r="I24" s="171">
        <v>600</v>
      </c>
      <c r="J24" s="113">
        <f>SUM(C24:I24)</f>
        <v>5533.69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BE24"/>
      <c r="BF24"/>
      <c r="BG24"/>
      <c r="BH24"/>
      <c r="BI24"/>
      <c r="BJ24"/>
      <c r="BK24"/>
      <c r="BL24"/>
      <c r="BM24"/>
      <c r="BN24"/>
    </row>
    <row r="25" spans="2:66">
      <c r="B25" s="10" t="s">
        <v>61</v>
      </c>
      <c r="C25" s="10">
        <f>J24-BN18</f>
        <v>-483.01</v>
      </c>
      <c r="D25" s="10"/>
      <c r="E25" s="10"/>
      <c r="F25" s="10"/>
      <c r="G25" s="10"/>
      <c r="H25" s="10"/>
      <c r="I25" s="10"/>
      <c r="J25" s="10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BE25"/>
      <c r="BF25"/>
      <c r="BG25"/>
      <c r="BH25"/>
      <c r="BI25"/>
      <c r="BJ25"/>
      <c r="BK25"/>
      <c r="BL25"/>
      <c r="BM25"/>
      <c r="BN25"/>
    </row>
    <row r="26" spans="2:23"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</row>
    <row r="27" spans="2:23">
      <c r="B27"/>
      <c r="C27"/>
      <c r="D27"/>
      <c r="E27"/>
      <c r="F27"/>
      <c r="G27"/>
      <c r="H27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</row>
    <row r="28" spans="2:23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</row>
    <row r="29" spans="2:23"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</row>
    <row r="30" spans="1:23">
      <c r="A30" s="183" t="s">
        <v>62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</row>
    <row r="31" spans="2:3">
      <c r="B31" s="31"/>
      <c r="C31" s="31"/>
    </row>
    <row r="32" spans="2:3">
      <c r="B32" s="31"/>
      <c r="C32" s="31"/>
    </row>
    <row r="33" spans="2:3">
      <c r="B33" s="31"/>
      <c r="C33" s="31"/>
    </row>
    <row r="34" spans="2:3">
      <c r="B34" s="31"/>
      <c r="C34" s="31"/>
    </row>
  </sheetData>
  <sheetProtection formatCells="0" insertHyperlinks="0" autoFilter="0"/>
  <mergeCells count="69">
    <mergeCell ref="U1:AL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U7:AL7"/>
    <mergeCell ref="U9:AL9"/>
    <mergeCell ref="U10:AL10"/>
    <mergeCell ref="U11:AL11"/>
    <mergeCell ref="U12:AL12"/>
    <mergeCell ref="U13:AL13"/>
    <mergeCell ref="U14:AL14"/>
    <mergeCell ref="U15:AL15"/>
    <mergeCell ref="U16:AL16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AL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BJ18:BK18"/>
    <mergeCell ref="BL18:BM18"/>
    <mergeCell ref="C25:J25"/>
    <mergeCell ref="A3:A6"/>
    <mergeCell ref="A7:A12"/>
    <mergeCell ref="BN3:BN6"/>
    <mergeCell ref="U3:AL6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2:BW28"/>
  <sheetViews>
    <sheetView zoomScale="87" zoomScaleNormal="87" topLeftCell="AU1" workbookViewId="0">
      <pane xSplit="27760" topLeftCell="A1" activePane="topLeft"/>
      <selection activeCell="BJ9" sqref="BJ9"/>
      <selection pane="topRight"/>
    </sheetView>
  </sheetViews>
  <sheetFormatPr defaultColWidth="9.81730769230769" defaultRowHeight="16.8"/>
  <cols>
    <col min="1" max="1" width="6" style="51" customWidth="1"/>
    <col min="2" max="2" width="20" style="51" customWidth="1"/>
    <col min="3" max="4" width="10.3076923076923" style="51" customWidth="1"/>
    <col min="5" max="5" width="10.9230769230769" style="51" customWidth="1"/>
    <col min="6" max="7" width="7.69230769230769" style="51" customWidth="1"/>
    <col min="8" max="8" width="6.69230769230769" style="51" customWidth="1"/>
    <col min="9" max="9" width="12.7692307692308" style="51" customWidth="1"/>
    <col min="10" max="11" width="6.69230769230769" style="51" customWidth="1"/>
    <col min="12" max="14" width="6.75" style="51" customWidth="1"/>
    <col min="15" max="15" width="10.3076923076923" style="51" customWidth="1"/>
    <col min="16" max="16" width="5.69230769230769" style="51" customWidth="1"/>
    <col min="17" max="17" width="6" style="51" customWidth="1"/>
    <col min="18" max="19" width="6.69230769230769" style="51" customWidth="1"/>
    <col min="20" max="20" width="6.75" style="51" customWidth="1"/>
    <col min="21" max="21" width="10.3076923076923" style="51" customWidth="1"/>
    <col min="22" max="23" width="6.69230769230769" style="51" customWidth="1"/>
    <col min="24" max="24" width="6.75" style="51" customWidth="1"/>
    <col min="25" max="25" width="15.1538461538462" style="51" customWidth="1"/>
    <col min="26" max="27" width="6.69230769230769" style="154" customWidth="1"/>
    <col min="28" max="31" width="5.69230769230769" style="51" customWidth="1"/>
    <col min="32" max="34" width="6.75" style="51" customWidth="1"/>
    <col min="35" max="35" width="7.61538461538461" style="51" customWidth="1"/>
    <col min="36" max="37" width="6.69230769230769" style="51" customWidth="1"/>
    <col min="38" max="38" width="6.75" style="51" customWidth="1"/>
    <col min="39" max="39" width="10.3076923076923" style="51" customWidth="1"/>
    <col min="40" max="41" width="7.69230769230769" style="51" customWidth="1"/>
    <col min="42" max="46" width="6.75" style="51" customWidth="1"/>
    <col min="47" max="47" width="12.5384615384615" style="51" customWidth="1"/>
    <col min="48" max="48" width="7.69230769230769" style="51" customWidth="1"/>
    <col min="49" max="49" width="10.3076923076923" style="51" customWidth="1"/>
    <col min="50" max="51" width="6.69230769230769" style="51" customWidth="1"/>
    <col min="52" max="52" width="6.75" style="51" customWidth="1"/>
    <col min="53" max="53" width="8.15384615384615" style="51" customWidth="1"/>
    <col min="54" max="54" width="5.69230769230769" style="51" customWidth="1"/>
    <col min="55" max="55" width="6" style="51" customWidth="1"/>
    <col min="56" max="56" width="6.69230769230769" style="51" customWidth="1"/>
    <col min="57" max="57" width="6" style="51" customWidth="1"/>
    <col min="58" max="59" width="7.69230769230769" style="51" customWidth="1"/>
    <col min="60" max="60" width="6.625" style="51" customWidth="1"/>
    <col min="61" max="61" width="8.15384615384615" style="51" customWidth="1"/>
    <col min="62" max="62" width="10.3076923076923" style="51" customWidth="1"/>
    <col min="63" max="64" width="7.69230769230769" style="51" customWidth="1"/>
    <col min="65" max="313" width="6.75" style="51" customWidth="1"/>
    <col min="314" max="436" width="5.75" style="51" customWidth="1"/>
    <col min="437" max="16384" width="8.875" style="51"/>
  </cols>
  <sheetData>
    <row r="2" s="153" customFormat="1" ht="17" spans="1:62">
      <c r="A2" s="170"/>
      <c r="B2" s="100" t="s">
        <v>1</v>
      </c>
      <c r="C2" s="155">
        <v>43862</v>
      </c>
      <c r="D2" s="156"/>
      <c r="E2" s="166">
        <v>43863</v>
      </c>
      <c r="F2" s="178"/>
      <c r="G2" s="155">
        <v>43864</v>
      </c>
      <c r="H2" s="156"/>
      <c r="I2" s="155">
        <v>43865</v>
      </c>
      <c r="J2" s="156"/>
      <c r="K2" s="155">
        <v>43866</v>
      </c>
      <c r="L2" s="156"/>
      <c r="M2" s="155">
        <v>43867</v>
      </c>
      <c r="N2" s="156"/>
      <c r="O2" s="155">
        <v>43868</v>
      </c>
      <c r="P2" s="156"/>
      <c r="Q2" s="155">
        <v>43869</v>
      </c>
      <c r="R2" s="156"/>
      <c r="S2" s="155">
        <v>43870</v>
      </c>
      <c r="T2" s="156"/>
      <c r="U2" s="155">
        <v>43871</v>
      </c>
      <c r="V2" s="156"/>
      <c r="W2" s="155">
        <v>43872</v>
      </c>
      <c r="X2" s="156"/>
      <c r="Y2" s="155">
        <v>43873</v>
      </c>
      <c r="Z2" s="156"/>
      <c r="AA2" s="155">
        <v>43874</v>
      </c>
      <c r="AB2" s="156"/>
      <c r="AC2" s="155">
        <v>43875</v>
      </c>
      <c r="AD2" s="156"/>
      <c r="AE2" s="155">
        <v>43876</v>
      </c>
      <c r="AF2" s="156"/>
      <c r="AG2" s="155">
        <v>43877</v>
      </c>
      <c r="AH2" s="156"/>
      <c r="AI2" s="155">
        <v>43878</v>
      </c>
      <c r="AJ2" s="156"/>
      <c r="AK2" s="155">
        <v>43879</v>
      </c>
      <c r="AL2" s="156"/>
      <c r="AM2" s="155">
        <v>43880</v>
      </c>
      <c r="AN2" s="156"/>
      <c r="AO2" s="155">
        <v>43881</v>
      </c>
      <c r="AP2" s="156"/>
      <c r="AQ2" s="155">
        <v>43882</v>
      </c>
      <c r="AR2" s="156"/>
      <c r="AS2" s="155">
        <v>43883</v>
      </c>
      <c r="AT2" s="156"/>
      <c r="AU2" s="155">
        <v>43884</v>
      </c>
      <c r="AV2" s="156"/>
      <c r="AW2" s="155">
        <v>43885</v>
      </c>
      <c r="AX2" s="156"/>
      <c r="AY2" s="155">
        <v>43886</v>
      </c>
      <c r="AZ2" s="156"/>
      <c r="BA2" s="155">
        <v>43887</v>
      </c>
      <c r="BB2" s="156"/>
      <c r="BC2" s="155">
        <v>43888</v>
      </c>
      <c r="BD2" s="156"/>
      <c r="BE2" s="155">
        <v>43889</v>
      </c>
      <c r="BF2" s="156"/>
      <c r="BG2" s="155">
        <v>43890</v>
      </c>
      <c r="BH2" s="156"/>
      <c r="BI2" s="178" t="s">
        <v>3</v>
      </c>
      <c r="BJ2" s="100" t="s">
        <v>1</v>
      </c>
    </row>
    <row r="3" spans="1:62">
      <c r="A3" s="171" t="s">
        <v>4</v>
      </c>
      <c r="B3" s="172" t="s">
        <v>5</v>
      </c>
      <c r="D3" s="63"/>
      <c r="E3" s="66"/>
      <c r="F3" s="67"/>
      <c r="H3" s="63"/>
      <c r="I3" s="9"/>
      <c r="J3" s="63"/>
      <c r="K3" s="9"/>
      <c r="L3" s="63"/>
      <c r="M3" s="9"/>
      <c r="N3" s="63"/>
      <c r="O3" s="9"/>
      <c r="P3" s="63"/>
      <c r="Q3" s="9"/>
      <c r="R3" s="63"/>
      <c r="S3" s="9"/>
      <c r="T3" s="63"/>
      <c r="U3" s="9"/>
      <c r="V3" s="63"/>
      <c r="W3" s="9"/>
      <c r="X3" s="63"/>
      <c r="Y3" s="9"/>
      <c r="Z3" s="63"/>
      <c r="AA3" s="9"/>
      <c r="AB3" s="63"/>
      <c r="AC3" s="9"/>
      <c r="AD3" s="63"/>
      <c r="AE3" s="9"/>
      <c r="AF3" s="63"/>
      <c r="AG3" s="9"/>
      <c r="AH3" s="63"/>
      <c r="AI3" s="9"/>
      <c r="AJ3" s="63"/>
      <c r="AK3" s="9"/>
      <c r="AL3" s="63"/>
      <c r="AM3" s="9"/>
      <c r="AN3" s="63"/>
      <c r="AO3" s="9"/>
      <c r="AP3" s="63"/>
      <c r="AQ3" s="9"/>
      <c r="AR3" s="63"/>
      <c r="AS3" s="9"/>
      <c r="AT3" s="63"/>
      <c r="AU3" s="9"/>
      <c r="AV3" s="63"/>
      <c r="AW3" s="9"/>
      <c r="AX3" s="63"/>
      <c r="AY3" s="9"/>
      <c r="AZ3" s="63"/>
      <c r="BA3" s="9"/>
      <c r="BB3" s="63"/>
      <c r="BC3" s="9"/>
      <c r="BD3" s="63"/>
      <c r="BE3" s="9"/>
      <c r="BF3" s="63"/>
      <c r="BG3" s="9"/>
      <c r="BH3" s="63"/>
      <c r="BI3" s="7">
        <f>SUM(A3:BH6)</f>
        <v>159.3</v>
      </c>
      <c r="BJ3" s="172" t="s">
        <v>5</v>
      </c>
    </row>
    <row r="4" spans="1:62">
      <c r="A4" s="173"/>
      <c r="B4" s="172" t="s">
        <v>6</v>
      </c>
      <c r="D4" s="63"/>
      <c r="F4" s="63"/>
      <c r="H4" s="63"/>
      <c r="I4" s="9"/>
      <c r="J4" s="63"/>
      <c r="K4" s="9"/>
      <c r="L4" s="63"/>
      <c r="M4" s="9"/>
      <c r="N4" s="63"/>
      <c r="O4" s="9"/>
      <c r="P4" s="63"/>
      <c r="Q4" s="9"/>
      <c r="R4" s="63"/>
      <c r="S4" s="9"/>
      <c r="T4" s="63"/>
      <c r="U4" s="9"/>
      <c r="V4" s="63"/>
      <c r="W4" s="9"/>
      <c r="X4" s="63"/>
      <c r="Y4" s="9"/>
      <c r="Z4" s="63"/>
      <c r="AA4" s="9"/>
      <c r="AB4" s="63"/>
      <c r="AC4" s="9"/>
      <c r="AD4" s="63"/>
      <c r="AE4" s="9"/>
      <c r="AF4" s="63"/>
      <c r="AG4" s="9"/>
      <c r="AH4" s="63"/>
      <c r="AI4" s="9"/>
      <c r="AJ4" s="63"/>
      <c r="AK4" s="9"/>
      <c r="AL4" s="63"/>
      <c r="AM4" s="9"/>
      <c r="AN4" s="63"/>
      <c r="AO4" s="9"/>
      <c r="AP4" s="63"/>
      <c r="AQ4" s="9"/>
      <c r="AR4" s="63"/>
      <c r="AS4" s="9"/>
      <c r="AT4" s="63"/>
      <c r="AU4" s="9"/>
      <c r="AV4" s="63"/>
      <c r="AW4" s="9"/>
      <c r="AX4" s="63"/>
      <c r="AY4" s="9"/>
      <c r="AZ4" s="63"/>
      <c r="BA4" s="9"/>
      <c r="BB4" s="63"/>
      <c r="BC4" s="9"/>
      <c r="BD4" s="63"/>
      <c r="BE4" s="9"/>
      <c r="BF4" s="63"/>
      <c r="BG4" s="9"/>
      <c r="BH4" s="63"/>
      <c r="BI4" s="7"/>
      <c r="BJ4" s="172" t="s">
        <v>6</v>
      </c>
    </row>
    <row r="5" spans="1:62">
      <c r="A5" s="173"/>
      <c r="B5" s="172" t="s">
        <v>7</v>
      </c>
      <c r="E5" s="159"/>
      <c r="G5" s="9"/>
      <c r="H5" s="63"/>
      <c r="I5" s="9"/>
      <c r="J5" s="63"/>
      <c r="K5" s="9"/>
      <c r="L5" s="63"/>
      <c r="M5" s="9"/>
      <c r="N5" s="63"/>
      <c r="O5" s="9"/>
      <c r="P5" s="63"/>
      <c r="Q5" s="9"/>
      <c r="R5" s="63"/>
      <c r="S5" s="9"/>
      <c r="T5" s="63"/>
      <c r="U5" s="9"/>
      <c r="V5" s="63"/>
      <c r="W5" s="9"/>
      <c r="X5" s="63"/>
      <c r="Y5" s="9"/>
      <c r="Z5" s="63"/>
      <c r="AA5" s="9"/>
      <c r="AB5" s="63"/>
      <c r="AC5" s="9"/>
      <c r="AD5" s="63"/>
      <c r="AE5" s="9"/>
      <c r="AF5" s="63"/>
      <c r="AG5" s="9"/>
      <c r="AH5" s="63"/>
      <c r="AI5" s="9"/>
      <c r="AJ5" s="63"/>
      <c r="AK5" s="9"/>
      <c r="AL5" s="63"/>
      <c r="AM5" s="9"/>
      <c r="AN5" s="63"/>
      <c r="AO5" s="9"/>
      <c r="AP5" s="63"/>
      <c r="AQ5" s="9"/>
      <c r="AR5" s="63"/>
      <c r="AS5" s="9"/>
      <c r="AT5" s="63"/>
      <c r="AU5" s="9"/>
      <c r="AV5" s="63"/>
      <c r="AW5" s="9"/>
      <c r="AX5" s="63"/>
      <c r="AY5" s="9"/>
      <c r="AZ5" s="63"/>
      <c r="BA5" s="9"/>
      <c r="BB5" s="63"/>
      <c r="BC5" s="9"/>
      <c r="BD5" s="63"/>
      <c r="BE5" s="9"/>
      <c r="BF5" s="63"/>
      <c r="BG5" s="9"/>
      <c r="BH5" s="63"/>
      <c r="BI5" s="7"/>
      <c r="BJ5" s="172" t="s">
        <v>7</v>
      </c>
    </row>
    <row r="6" spans="1:62">
      <c r="A6" s="174"/>
      <c r="B6" s="175" t="s">
        <v>8</v>
      </c>
      <c r="C6" s="64"/>
      <c r="D6" s="64"/>
      <c r="E6" s="160"/>
      <c r="F6" s="64"/>
      <c r="G6" s="4"/>
      <c r="H6" s="65"/>
      <c r="I6" s="4"/>
      <c r="J6" s="65"/>
      <c r="K6" s="4"/>
      <c r="L6" s="65"/>
      <c r="M6" s="4"/>
      <c r="N6" s="65"/>
      <c r="O6" s="4"/>
      <c r="P6" s="65"/>
      <c r="Q6" s="4"/>
      <c r="R6" s="65">
        <v>88.3</v>
      </c>
      <c r="S6" s="4"/>
      <c r="T6" s="65"/>
      <c r="U6" s="4"/>
      <c r="V6" s="65"/>
      <c r="W6" s="4"/>
      <c r="X6" s="65"/>
      <c r="Y6" s="4"/>
      <c r="Z6" s="65"/>
      <c r="AA6" s="4"/>
      <c r="AB6" s="65"/>
      <c r="AC6" s="4"/>
      <c r="AD6" s="65"/>
      <c r="AE6" s="4"/>
      <c r="AF6" s="65"/>
      <c r="AG6" s="4"/>
      <c r="AH6" s="65"/>
      <c r="AI6" s="4"/>
      <c r="AJ6" s="65"/>
      <c r="AK6" s="4"/>
      <c r="AL6" s="65"/>
      <c r="AM6" s="4"/>
      <c r="AN6" s="65"/>
      <c r="AO6" s="4"/>
      <c r="AP6" s="65"/>
      <c r="AQ6" s="4"/>
      <c r="AR6" s="65"/>
      <c r="AS6" s="4"/>
      <c r="AT6" s="65"/>
      <c r="AU6" s="4"/>
      <c r="AV6" s="65"/>
      <c r="AW6" s="4"/>
      <c r="AX6" s="65">
        <v>71</v>
      </c>
      <c r="AY6" s="4"/>
      <c r="AZ6" s="65"/>
      <c r="BA6" s="4"/>
      <c r="BB6" s="65"/>
      <c r="BC6" s="4"/>
      <c r="BD6" s="65"/>
      <c r="BE6" s="4"/>
      <c r="BF6" s="65"/>
      <c r="BG6" s="4"/>
      <c r="BH6" s="65"/>
      <c r="BI6" s="7"/>
      <c r="BJ6" s="175" t="s">
        <v>8</v>
      </c>
    </row>
    <row r="7" spans="1:63">
      <c r="A7" s="176" t="s">
        <v>10</v>
      </c>
      <c r="B7" s="105" t="s">
        <v>11</v>
      </c>
      <c r="D7" s="63"/>
      <c r="E7" s="161"/>
      <c r="F7" s="66"/>
      <c r="G7" s="162"/>
      <c r="H7" s="163"/>
      <c r="I7" s="162"/>
      <c r="J7" s="163"/>
      <c r="K7" s="162"/>
      <c r="L7" s="163"/>
      <c r="M7" s="162"/>
      <c r="N7" s="163"/>
      <c r="O7" s="162"/>
      <c r="P7" s="163"/>
      <c r="Q7" s="162"/>
      <c r="R7" s="163"/>
      <c r="S7" s="162"/>
      <c r="T7" s="163"/>
      <c r="U7" s="162"/>
      <c r="V7" s="163"/>
      <c r="W7" s="162"/>
      <c r="X7" s="163"/>
      <c r="Y7" s="162"/>
      <c r="Z7" s="163"/>
      <c r="AA7" s="162"/>
      <c r="AB7" s="163"/>
      <c r="AC7" s="162"/>
      <c r="AD7" s="163"/>
      <c r="AE7" s="162"/>
      <c r="AF7" s="163"/>
      <c r="AG7" s="162"/>
      <c r="AH7" s="163"/>
      <c r="AI7" s="162"/>
      <c r="AJ7" s="163"/>
      <c r="AK7" s="162"/>
      <c r="AL7" s="163"/>
      <c r="AM7" s="162"/>
      <c r="AN7" s="163"/>
      <c r="AO7" s="162"/>
      <c r="AP7" s="163"/>
      <c r="AQ7" s="162"/>
      <c r="AR7" s="163"/>
      <c r="AS7" s="162"/>
      <c r="AT7" s="163"/>
      <c r="AU7" s="162"/>
      <c r="AV7" s="163"/>
      <c r="AW7" s="162"/>
      <c r="AX7" s="163"/>
      <c r="AY7" s="162"/>
      <c r="AZ7" s="163"/>
      <c r="BA7" s="162"/>
      <c r="BB7" s="163"/>
      <c r="BC7" s="162"/>
      <c r="BD7" s="163"/>
      <c r="BE7" s="162"/>
      <c r="BF7" s="163"/>
      <c r="BG7" s="162"/>
      <c r="BH7" s="163"/>
      <c r="BI7" s="12">
        <f>SUM(E7:BH7)</f>
        <v>0</v>
      </c>
      <c r="BJ7" s="105" t="s">
        <v>11</v>
      </c>
      <c r="BK7"/>
    </row>
    <row r="8" spans="1:63">
      <c r="A8" s="177"/>
      <c r="B8" s="105" t="s">
        <v>15</v>
      </c>
      <c r="D8" s="63"/>
      <c r="E8" s="154"/>
      <c r="G8" s="159"/>
      <c r="H8" s="164"/>
      <c r="I8" s="159"/>
      <c r="J8" s="164"/>
      <c r="K8" s="159"/>
      <c r="L8" s="164"/>
      <c r="M8" s="159"/>
      <c r="N8" s="164"/>
      <c r="O8" s="159"/>
      <c r="P8" s="164"/>
      <c r="Q8" s="159"/>
      <c r="R8" s="164"/>
      <c r="S8" s="159"/>
      <c r="T8" s="164"/>
      <c r="U8" s="159"/>
      <c r="V8" s="164"/>
      <c r="W8" s="159"/>
      <c r="X8" s="164"/>
      <c r="Y8" s="159"/>
      <c r="Z8" s="164"/>
      <c r="AA8" s="159"/>
      <c r="AB8" s="164"/>
      <c r="AC8" s="159"/>
      <c r="AD8" s="164"/>
      <c r="AE8" s="159"/>
      <c r="AF8" s="164"/>
      <c r="AG8" s="159"/>
      <c r="AH8" s="164"/>
      <c r="AI8" s="159"/>
      <c r="AJ8" s="164"/>
      <c r="AK8" s="159"/>
      <c r="AL8" s="164"/>
      <c r="AM8" s="159"/>
      <c r="AN8" s="164"/>
      <c r="AO8" s="159"/>
      <c r="AP8" s="164"/>
      <c r="AQ8" s="159"/>
      <c r="AR8" s="164"/>
      <c r="AS8" s="159"/>
      <c r="AT8" s="164"/>
      <c r="AU8" s="159"/>
      <c r="AV8" s="164"/>
      <c r="AW8" s="159"/>
      <c r="AX8" s="164"/>
      <c r="AY8" s="159"/>
      <c r="AZ8" s="164"/>
      <c r="BA8" s="159"/>
      <c r="BB8" s="164"/>
      <c r="BC8" s="159"/>
      <c r="BD8" s="164"/>
      <c r="BE8" s="9" t="s">
        <v>63</v>
      </c>
      <c r="BF8" s="63">
        <v>100</v>
      </c>
      <c r="BG8" s="159"/>
      <c r="BH8" s="164"/>
      <c r="BI8" s="12">
        <f>SUM(E8:BH8)</f>
        <v>100</v>
      </c>
      <c r="BJ8" s="105" t="s">
        <v>15</v>
      </c>
      <c r="BK8"/>
    </row>
    <row r="9" spans="1:63">
      <c r="A9" s="177"/>
      <c r="B9" s="106" t="s">
        <v>16</v>
      </c>
      <c r="D9" s="63"/>
      <c r="E9" s="154"/>
      <c r="G9" s="9"/>
      <c r="H9" s="63"/>
      <c r="I9" s="9"/>
      <c r="J9" s="63"/>
      <c r="K9" s="9"/>
      <c r="L9" s="63"/>
      <c r="M9" s="9"/>
      <c r="N9" s="63"/>
      <c r="O9" s="9"/>
      <c r="P9" s="63"/>
      <c r="Q9" s="9"/>
      <c r="R9" s="63"/>
      <c r="S9" s="9"/>
      <c r="T9" s="63"/>
      <c r="U9" s="9"/>
      <c r="V9" s="63"/>
      <c r="W9" s="9"/>
      <c r="X9" s="63"/>
      <c r="Y9" s="9"/>
      <c r="Z9" s="63"/>
      <c r="AA9" s="9"/>
      <c r="AB9" s="63"/>
      <c r="AC9" s="9"/>
      <c r="AD9" s="63">
        <v>5.2</v>
      </c>
      <c r="AE9" s="9"/>
      <c r="AF9" s="63"/>
      <c r="AG9" s="9"/>
      <c r="AH9" s="63"/>
      <c r="AI9" s="9"/>
      <c r="AJ9" s="63"/>
      <c r="AK9" s="9"/>
      <c r="AL9" s="63"/>
      <c r="AM9" s="9"/>
      <c r="AN9" s="63"/>
      <c r="AO9" s="9"/>
      <c r="AP9" s="63"/>
      <c r="AQ9" s="9"/>
      <c r="AR9" s="63"/>
      <c r="AS9" s="9"/>
      <c r="AT9" s="63"/>
      <c r="AU9" s="9"/>
      <c r="AV9" s="63"/>
      <c r="AW9" s="9"/>
      <c r="AX9" s="63"/>
      <c r="AY9" s="9"/>
      <c r="AZ9" s="63"/>
      <c r="BA9" s="9" t="s">
        <v>64</v>
      </c>
      <c r="BB9" s="63">
        <v>8.01</v>
      </c>
      <c r="BC9" s="9"/>
      <c r="BD9" s="63"/>
      <c r="BE9" s="9"/>
      <c r="BF9" s="63"/>
      <c r="BG9" s="9"/>
      <c r="BH9" s="63"/>
      <c r="BI9" s="12">
        <f>SUM(E9:BH9)</f>
        <v>13.21</v>
      </c>
      <c r="BJ9" s="106" t="s">
        <v>16</v>
      </c>
      <c r="BK9"/>
    </row>
    <row r="10" spans="1:63">
      <c r="A10" s="177"/>
      <c r="B10" s="107" t="s">
        <v>21</v>
      </c>
      <c r="D10" s="63"/>
      <c r="G10" s="9"/>
      <c r="H10" s="63"/>
      <c r="K10" s="9"/>
      <c r="L10" s="63"/>
      <c r="M10" s="9"/>
      <c r="N10" s="63"/>
      <c r="O10" s="9" t="s">
        <v>65</v>
      </c>
      <c r="P10" s="63">
        <v>9</v>
      </c>
      <c r="Q10" s="9"/>
      <c r="R10" s="63"/>
      <c r="S10" s="9"/>
      <c r="T10" s="63"/>
      <c r="U10" s="9"/>
      <c r="V10" s="63"/>
      <c r="W10" s="9"/>
      <c r="X10" s="63"/>
      <c r="Y10" s="9"/>
      <c r="Z10" s="63"/>
      <c r="AA10" s="9"/>
      <c r="AB10" s="63">
        <v>1</v>
      </c>
      <c r="AC10" s="9"/>
      <c r="AD10" s="63"/>
      <c r="AE10" s="9"/>
      <c r="AF10" s="63"/>
      <c r="AG10" s="9"/>
      <c r="AH10" s="63"/>
      <c r="AI10" s="9" t="s">
        <v>66</v>
      </c>
      <c r="AJ10" s="63">
        <v>6</v>
      </c>
      <c r="AK10" s="9"/>
      <c r="AL10" s="63"/>
      <c r="AM10" s="9"/>
      <c r="AN10" s="63"/>
      <c r="AO10" s="9"/>
      <c r="AP10" s="63"/>
      <c r="AQ10" s="9"/>
      <c r="AR10" s="63"/>
      <c r="AS10" s="9"/>
      <c r="AT10" s="63"/>
      <c r="AU10" s="9" t="s">
        <v>67</v>
      </c>
      <c r="AV10" s="63">
        <v>10</v>
      </c>
      <c r="AW10" s="9" t="s">
        <v>24</v>
      </c>
      <c r="AX10" s="63">
        <v>4.8</v>
      </c>
      <c r="AY10" s="9"/>
      <c r="AZ10" s="63"/>
      <c r="BA10" s="9"/>
      <c r="BB10" s="63"/>
      <c r="BC10" s="9"/>
      <c r="BD10" s="63"/>
      <c r="BE10" s="9"/>
      <c r="BF10" s="63"/>
      <c r="BG10" s="9"/>
      <c r="BH10" s="63"/>
      <c r="BI10" s="12">
        <f>SUM(E10:BH10)</f>
        <v>30.8</v>
      </c>
      <c r="BJ10" s="107" t="s">
        <v>21</v>
      </c>
      <c r="BK10"/>
    </row>
    <row r="11" spans="1:63">
      <c r="A11" s="177"/>
      <c r="B11" s="107" t="s">
        <v>26</v>
      </c>
      <c r="C11" s="154"/>
      <c r="E11" s="9"/>
      <c r="F11" s="63"/>
      <c r="G11" s="9"/>
      <c r="H11" s="63"/>
      <c r="I11" s="9"/>
      <c r="J11" s="63"/>
      <c r="K11" s="9"/>
      <c r="L11" s="63"/>
      <c r="M11" s="9"/>
      <c r="N11" s="63"/>
      <c r="O11" s="9"/>
      <c r="P11" s="63"/>
      <c r="Q11" s="9"/>
      <c r="R11" s="63"/>
      <c r="S11" s="9"/>
      <c r="T11" s="63"/>
      <c r="U11" s="9"/>
      <c r="V11" s="63"/>
      <c r="W11" s="9"/>
      <c r="X11" s="63"/>
      <c r="Y11" s="9"/>
      <c r="Z11" s="63"/>
      <c r="AA11" s="9"/>
      <c r="AB11" s="63"/>
      <c r="AC11" s="9"/>
      <c r="AD11" s="63"/>
      <c r="AE11" s="9"/>
      <c r="AF11" s="63"/>
      <c r="AG11" s="9"/>
      <c r="AH11" s="63"/>
      <c r="AI11" s="9"/>
      <c r="AJ11" s="63"/>
      <c r="AK11" s="9"/>
      <c r="AL11" s="63"/>
      <c r="AM11" s="9"/>
      <c r="AN11" s="63"/>
      <c r="AO11" s="9"/>
      <c r="AP11" s="63"/>
      <c r="AQ11" s="9"/>
      <c r="AR11" s="63"/>
      <c r="AS11" s="9"/>
      <c r="AT11" s="63"/>
      <c r="AU11" s="9"/>
      <c r="AV11" s="63"/>
      <c r="AW11" s="9"/>
      <c r="AX11" s="63"/>
      <c r="AY11" s="9"/>
      <c r="AZ11" s="63"/>
      <c r="BA11" s="9"/>
      <c r="BB11" s="63"/>
      <c r="BC11" s="9"/>
      <c r="BD11" s="63"/>
      <c r="BE11" s="9"/>
      <c r="BF11" s="63"/>
      <c r="BG11" s="9"/>
      <c r="BH11" s="63"/>
      <c r="BI11" s="12">
        <f t="shared" ref="BI11:BI20" si="0">SUM(C11:BH11)</f>
        <v>0</v>
      </c>
      <c r="BJ11" s="107" t="s">
        <v>26</v>
      </c>
      <c r="BK11"/>
    </row>
    <row r="12" spans="1:63">
      <c r="A12" s="177"/>
      <c r="B12" s="107" t="s">
        <v>29</v>
      </c>
      <c r="C12" s="154"/>
      <c r="E12" s="9"/>
      <c r="F12" s="63"/>
      <c r="G12" s="9"/>
      <c r="H12" s="63"/>
      <c r="I12" s="9"/>
      <c r="J12" s="63"/>
      <c r="K12" s="9"/>
      <c r="L12" s="63"/>
      <c r="M12" s="9"/>
      <c r="N12" s="63"/>
      <c r="O12" s="9"/>
      <c r="P12" s="63"/>
      <c r="Q12" s="9"/>
      <c r="R12" s="63"/>
      <c r="S12" s="9"/>
      <c r="T12" s="63"/>
      <c r="U12" s="9"/>
      <c r="V12" s="63"/>
      <c r="W12" s="9"/>
      <c r="X12" s="63"/>
      <c r="Y12" s="9"/>
      <c r="Z12" s="63"/>
      <c r="AA12" s="9"/>
      <c r="AB12" s="63"/>
      <c r="AC12" s="9"/>
      <c r="AD12" s="63"/>
      <c r="AE12" s="9"/>
      <c r="AF12" s="63"/>
      <c r="AG12" s="9"/>
      <c r="AH12" s="63"/>
      <c r="AI12" s="9"/>
      <c r="AJ12" s="63"/>
      <c r="AK12" s="9"/>
      <c r="AL12" s="63"/>
      <c r="AM12" s="9"/>
      <c r="AN12" s="63"/>
      <c r="AO12" s="9"/>
      <c r="AP12" s="63"/>
      <c r="AQ12" s="9"/>
      <c r="AR12" s="63"/>
      <c r="AS12" s="9"/>
      <c r="AT12" s="63"/>
      <c r="AU12" s="9"/>
      <c r="AV12" s="63"/>
      <c r="AW12" s="9"/>
      <c r="AX12" s="63"/>
      <c r="AY12" s="9"/>
      <c r="AZ12" s="63"/>
      <c r="BC12" s="9"/>
      <c r="BD12" s="63"/>
      <c r="BE12" s="9"/>
      <c r="BF12" s="63"/>
      <c r="BG12" s="9"/>
      <c r="BH12" s="63"/>
      <c r="BI12" s="12">
        <f t="shared" si="0"/>
        <v>0</v>
      </c>
      <c r="BJ12" s="107" t="s">
        <v>29</v>
      </c>
      <c r="BK12"/>
    </row>
    <row r="13" s="77" customFormat="1" ht="17" spans="1:75">
      <c r="A13" s="167" t="s">
        <v>30</v>
      </c>
      <c r="B13" s="108" t="s">
        <v>31</v>
      </c>
      <c r="C13" s="157"/>
      <c r="E13" s="16" t="s">
        <v>68</v>
      </c>
      <c r="F13" s="48"/>
      <c r="G13" s="48"/>
      <c r="I13" s="10"/>
      <c r="J13" s="10"/>
      <c r="K13" s="10"/>
      <c r="L13" s="14"/>
      <c r="M13" s="10"/>
      <c r="N13" s="14"/>
      <c r="O13" s="10"/>
      <c r="P13" s="14"/>
      <c r="Q13" s="10" t="s">
        <v>34</v>
      </c>
      <c r="R13" s="14">
        <v>23</v>
      </c>
      <c r="S13" s="10"/>
      <c r="T13" s="14"/>
      <c r="U13" s="10"/>
      <c r="W13" s="10"/>
      <c r="X13" s="14"/>
      <c r="Y13" s="10"/>
      <c r="AA13" s="10"/>
      <c r="AB13" s="14"/>
      <c r="AC13" s="10"/>
      <c r="AD13" s="14"/>
      <c r="AE13" s="10"/>
      <c r="AF13" s="14"/>
      <c r="AG13" s="10"/>
      <c r="AH13" s="10"/>
      <c r="AK13" s="10"/>
      <c r="AL13" s="14"/>
      <c r="AM13" s="10"/>
      <c r="AO13" s="10"/>
      <c r="AP13" s="14"/>
      <c r="AQ13" s="10"/>
      <c r="AR13" s="14"/>
      <c r="AS13" s="10"/>
      <c r="AT13" s="14"/>
      <c r="AU13" s="10" t="s">
        <v>69</v>
      </c>
      <c r="AV13" s="14">
        <v>100</v>
      </c>
      <c r="AW13" s="10"/>
      <c r="AX13" s="14"/>
      <c r="AY13" s="10"/>
      <c r="AZ13" s="14"/>
      <c r="BA13" s="10"/>
      <c r="BB13" s="14"/>
      <c r="BC13" s="10"/>
      <c r="BD13" s="14"/>
      <c r="BE13" s="10"/>
      <c r="BF13" s="14"/>
      <c r="BG13" s="10"/>
      <c r="BH13" s="14"/>
      <c r="BI13" s="7">
        <f t="shared" si="0"/>
        <v>123</v>
      </c>
      <c r="BJ13" s="108" t="s">
        <v>31</v>
      </c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</row>
    <row r="14" s="77" customFormat="1" spans="1:75">
      <c r="A14" s="167" t="s">
        <v>35</v>
      </c>
      <c r="B14" s="47" t="s">
        <v>36</v>
      </c>
      <c r="C14" s="10"/>
      <c r="D14" s="10"/>
      <c r="E14" s="10"/>
      <c r="F14" s="10"/>
      <c r="G14" s="10"/>
      <c r="H14" s="10"/>
      <c r="K14" s="10"/>
      <c r="L14" s="14"/>
      <c r="M14" s="10"/>
      <c r="N14" s="14"/>
      <c r="O14" s="10"/>
      <c r="P14" s="14"/>
      <c r="Q14" s="10"/>
      <c r="R14" s="14"/>
      <c r="S14" s="10"/>
      <c r="T14" s="14"/>
      <c r="U14" s="10"/>
      <c r="V14" s="14"/>
      <c r="W14" s="10"/>
      <c r="X14" s="14"/>
      <c r="Y14" s="10"/>
      <c r="Z14" s="14"/>
      <c r="AA14" s="10"/>
      <c r="AB14" s="14"/>
      <c r="AC14" s="10"/>
      <c r="AD14" s="14"/>
      <c r="AE14" s="10"/>
      <c r="AF14" s="14"/>
      <c r="AG14" s="10"/>
      <c r="AH14" s="14"/>
      <c r="AI14" s="10"/>
      <c r="AJ14" s="14"/>
      <c r="AK14" s="10"/>
      <c r="AL14" s="14"/>
      <c r="AM14" s="10"/>
      <c r="AN14" s="14"/>
      <c r="AO14" s="10"/>
      <c r="AP14" s="14"/>
      <c r="AQ14" s="10"/>
      <c r="AR14" s="14"/>
      <c r="AS14" s="10"/>
      <c r="AT14" s="14"/>
      <c r="AU14" s="10"/>
      <c r="AV14" s="14"/>
      <c r="AW14" s="10"/>
      <c r="AX14" s="14"/>
      <c r="AY14" s="10"/>
      <c r="AZ14" s="14"/>
      <c r="BA14" s="10"/>
      <c r="BB14" s="14"/>
      <c r="BC14" s="10"/>
      <c r="BD14" s="14"/>
      <c r="BE14" s="10"/>
      <c r="BF14" s="14"/>
      <c r="BG14" s="10"/>
      <c r="BH14" s="14"/>
      <c r="BI14" s="7">
        <f t="shared" si="0"/>
        <v>0</v>
      </c>
      <c r="BJ14" s="10" t="s">
        <v>36</v>
      </c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</row>
    <row r="15" s="77" customFormat="1" spans="1:75">
      <c r="A15" s="167" t="s">
        <v>38</v>
      </c>
      <c r="B15" s="47" t="s">
        <v>39</v>
      </c>
      <c r="C15" s="10"/>
      <c r="D15" s="10"/>
      <c r="E15" s="10" t="s">
        <v>70</v>
      </c>
      <c r="F15" s="48">
        <f>9.9+414.9</f>
        <v>424.8</v>
      </c>
      <c r="G15" s="10"/>
      <c r="H15" s="10">
        <f>2.44+1.71+12</f>
        <v>16.15</v>
      </c>
      <c r="I15" s="131" t="s">
        <v>71</v>
      </c>
      <c r="J15" s="63">
        <v>98</v>
      </c>
      <c r="K15" s="10"/>
      <c r="L15" s="14"/>
      <c r="M15" s="10"/>
      <c r="N15" s="14"/>
      <c r="O15" s="10"/>
      <c r="P15" s="14"/>
      <c r="Q15" s="10"/>
      <c r="R15" s="14"/>
      <c r="S15" s="10"/>
      <c r="T15" s="14"/>
      <c r="U15" s="10" t="s">
        <v>72</v>
      </c>
      <c r="V15" s="14">
        <v>40.8</v>
      </c>
      <c r="W15" s="10"/>
      <c r="X15" s="14"/>
      <c r="Y15" s="10" t="s">
        <v>73</v>
      </c>
      <c r="Z15" s="14">
        <v>38.9</v>
      </c>
      <c r="AA15" s="10"/>
      <c r="AB15" s="14"/>
      <c r="AC15" s="10"/>
      <c r="AD15" s="14"/>
      <c r="AE15" s="10"/>
      <c r="AF15" s="14"/>
      <c r="AG15" s="10"/>
      <c r="AH15" s="14"/>
      <c r="AI15" s="10"/>
      <c r="AJ15" s="14"/>
      <c r="AK15" s="10"/>
      <c r="AL15" s="14"/>
      <c r="AM15" s="10" t="s">
        <v>74</v>
      </c>
      <c r="AN15" s="14">
        <v>124.4</v>
      </c>
      <c r="AO15" s="10"/>
      <c r="AP15" s="14"/>
      <c r="AQ15" s="10"/>
      <c r="AR15" s="14"/>
      <c r="AS15" s="10"/>
      <c r="AT15" s="14"/>
      <c r="AU15" s="10"/>
      <c r="AV15" s="14"/>
      <c r="AW15" s="10"/>
      <c r="AX15" s="14"/>
      <c r="AY15" s="10"/>
      <c r="AZ15" s="14"/>
      <c r="BA15" s="10"/>
      <c r="BB15" s="14"/>
      <c r="BC15" s="10"/>
      <c r="BD15" s="14"/>
      <c r="BE15" s="10"/>
      <c r="BF15" s="14"/>
      <c r="BG15" s="10"/>
      <c r="BH15" s="14"/>
      <c r="BI15" s="7">
        <f t="shared" si="0"/>
        <v>743.05</v>
      </c>
      <c r="BJ15" s="10" t="s">
        <v>39</v>
      </c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</row>
    <row r="16" s="77" customFormat="1" spans="1:75">
      <c r="A16" s="167" t="s">
        <v>42</v>
      </c>
      <c r="B16" s="108" t="s">
        <v>43</v>
      </c>
      <c r="C16" s="48"/>
      <c r="D16" s="10"/>
      <c r="E16" s="48"/>
      <c r="F16" s="10"/>
      <c r="G16" s="48"/>
      <c r="H16" s="10"/>
      <c r="I16" s="10"/>
      <c r="J16" s="10"/>
      <c r="K16" s="10"/>
      <c r="L16" s="14"/>
      <c r="M16" s="10"/>
      <c r="N16" s="14"/>
      <c r="O16" s="10"/>
      <c r="P16" s="14"/>
      <c r="Q16" s="10"/>
      <c r="R16" s="14"/>
      <c r="S16" s="10"/>
      <c r="T16" s="14"/>
      <c r="U16" s="10"/>
      <c r="V16" s="14"/>
      <c r="W16" s="10"/>
      <c r="X16" s="14"/>
      <c r="Y16" s="10"/>
      <c r="Z16" s="14"/>
      <c r="AA16" s="10"/>
      <c r="AB16" s="14"/>
      <c r="AC16" s="10"/>
      <c r="AD16" s="14"/>
      <c r="AE16" s="10"/>
      <c r="AF16" s="14"/>
      <c r="AG16" s="10"/>
      <c r="AH16" s="14"/>
      <c r="AI16" s="10" t="s">
        <v>44</v>
      </c>
      <c r="AJ16" s="14">
        <v>15.56</v>
      </c>
      <c r="AK16" s="10"/>
      <c r="AL16" s="14"/>
      <c r="AM16" s="10"/>
      <c r="AN16" s="14"/>
      <c r="AO16" s="10"/>
      <c r="AP16" s="14"/>
      <c r="AQ16" s="10"/>
      <c r="AR16" s="14"/>
      <c r="AS16" s="10"/>
      <c r="AT16" s="14"/>
      <c r="AU16" s="10"/>
      <c r="AV16" s="14"/>
      <c r="AW16" s="10"/>
      <c r="AX16" s="14"/>
      <c r="AY16" s="10"/>
      <c r="AZ16" s="14"/>
      <c r="BA16" s="10"/>
      <c r="BB16" s="14"/>
      <c r="BC16" s="10" t="s">
        <v>44</v>
      </c>
      <c r="BD16" s="14">
        <v>51.8</v>
      </c>
      <c r="BE16" s="10"/>
      <c r="BF16" s="14"/>
      <c r="BG16" s="10"/>
      <c r="BH16" s="14"/>
      <c r="BI16" s="7">
        <f t="shared" si="0"/>
        <v>67.36</v>
      </c>
      <c r="BJ16" s="108" t="s">
        <v>43</v>
      </c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</row>
    <row r="17" s="51" customFormat="1" spans="1:62">
      <c r="A17" s="167" t="s">
        <v>45</v>
      </c>
      <c r="B17" s="10" t="s">
        <v>46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7">
        <f t="shared" si="0"/>
        <v>0</v>
      </c>
      <c r="BJ17" s="10" t="s">
        <v>46</v>
      </c>
    </row>
    <row r="18" ht="17" spans="1:62">
      <c r="A18" s="10"/>
      <c r="B18" s="168" t="s">
        <v>47</v>
      </c>
      <c r="C18" s="14">
        <f>SUM(C3:D16)</f>
        <v>0</v>
      </c>
      <c r="D18" s="48"/>
      <c r="E18" s="14">
        <f>SUM(E3:F16)</f>
        <v>424.8</v>
      </c>
      <c r="F18" s="48"/>
      <c r="G18" s="14">
        <f>SUM(G3:H16)</f>
        <v>16.15</v>
      </c>
      <c r="H18" s="48"/>
      <c r="I18" s="14">
        <f>SUM(I3:J16)</f>
        <v>98</v>
      </c>
      <c r="J18" s="48"/>
      <c r="K18" s="14">
        <f>SUM(K3:L16)</f>
        <v>0</v>
      </c>
      <c r="L18" s="48"/>
      <c r="M18" s="14">
        <f>SUM(M3:N16)</f>
        <v>0</v>
      </c>
      <c r="N18" s="48"/>
      <c r="O18" s="14">
        <f>SUM(O3:P16)</f>
        <v>9</v>
      </c>
      <c r="P18" s="48"/>
      <c r="Q18" s="14">
        <f>SUM(Q3:R16)</f>
        <v>111.3</v>
      </c>
      <c r="R18" s="48"/>
      <c r="S18" s="14">
        <f>SUM(S3:T16)</f>
        <v>0</v>
      </c>
      <c r="T18" s="48"/>
      <c r="U18" s="14">
        <f>SUM(U3:V16)</f>
        <v>40.8</v>
      </c>
      <c r="V18" s="48"/>
      <c r="W18" s="14">
        <f>SUM(W3:X16)</f>
        <v>0</v>
      </c>
      <c r="X18" s="48"/>
      <c r="Y18" s="14">
        <f>SUM(Y3:Z16)</f>
        <v>38.9</v>
      </c>
      <c r="Z18" s="48"/>
      <c r="AA18" s="14">
        <f>SUM(AA3:AB16)</f>
        <v>1</v>
      </c>
      <c r="AB18" s="48"/>
      <c r="AC18" s="14">
        <f>SUM(AC3:AD16)</f>
        <v>5.2</v>
      </c>
      <c r="AD18" s="48"/>
      <c r="AE18" s="14">
        <f>SUM(AE3:AF16)</f>
        <v>0</v>
      </c>
      <c r="AF18" s="48"/>
      <c r="AG18" s="14">
        <f>SUM(AG3:AH16)</f>
        <v>0</v>
      </c>
      <c r="AH18" s="48"/>
      <c r="AI18" s="14">
        <f>SUM(AI3:AJ16)</f>
        <v>21.56</v>
      </c>
      <c r="AJ18" s="48"/>
      <c r="AK18" s="14">
        <f>SUM(AK3:AL16)</f>
        <v>0</v>
      </c>
      <c r="AL18" s="48"/>
      <c r="AM18" s="14">
        <f>SUM(AM3:AN16)</f>
        <v>124.4</v>
      </c>
      <c r="AN18" s="48"/>
      <c r="AO18" s="14">
        <f>SUM(AO3:AP16)</f>
        <v>0</v>
      </c>
      <c r="AP18" s="48"/>
      <c r="AQ18" s="14">
        <f>SUM(AQ3:AR16)</f>
        <v>0</v>
      </c>
      <c r="AR18" s="48"/>
      <c r="AS18" s="14">
        <f>SUM(AS3:AT16)</f>
        <v>0</v>
      </c>
      <c r="AT18" s="48"/>
      <c r="AU18" s="14">
        <f>SUM(AU3:AV16)</f>
        <v>110</v>
      </c>
      <c r="AV18" s="48"/>
      <c r="AW18" s="14">
        <f>SUM(AW3:AX16)</f>
        <v>75.8</v>
      </c>
      <c r="AX18" s="48"/>
      <c r="AY18" s="14">
        <f>SUM(AY3:AZ16)</f>
        <v>0</v>
      </c>
      <c r="AZ18" s="48"/>
      <c r="BA18" s="14">
        <f>SUM(BA3:BB16)</f>
        <v>8.01</v>
      </c>
      <c r="BB18" s="48"/>
      <c r="BC18" s="14">
        <f>SUM(BC3:BD16)</f>
        <v>51.8</v>
      </c>
      <c r="BD18" s="48"/>
      <c r="BE18" s="14">
        <f>SUM(BE3:BF16)</f>
        <v>100</v>
      </c>
      <c r="BF18" s="48"/>
      <c r="BG18" s="14">
        <f>SUM(BG3:BH16)</f>
        <v>0</v>
      </c>
      <c r="BH18" s="48"/>
      <c r="BI18" s="7">
        <f t="shared" si="0"/>
        <v>1236.72</v>
      </c>
      <c r="BJ18" s="111" t="s">
        <v>47</v>
      </c>
    </row>
    <row r="19" s="77" customFormat="1" ht="17" spans="1:75">
      <c r="A19" s="14" t="s">
        <v>48</v>
      </c>
      <c r="B19" s="85" t="s">
        <v>49</v>
      </c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10"/>
      <c r="Y19" s="10"/>
      <c r="Z19" s="85"/>
      <c r="AA19" s="85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68"/>
      <c r="BE19" s="68"/>
      <c r="BF19" s="68"/>
      <c r="BG19" s="68"/>
      <c r="BH19" s="68"/>
      <c r="BI19" s="7">
        <f t="shared" si="0"/>
        <v>0</v>
      </c>
      <c r="BJ19" s="85" t="s">
        <v>49</v>
      </c>
      <c r="BK19" s="51"/>
      <c r="BL19" s="51"/>
      <c r="BM19" s="51"/>
      <c r="BN19" s="51"/>
      <c r="BO19" s="51"/>
      <c r="BP19" s="51"/>
      <c r="BQ19" s="51"/>
      <c r="BR19" s="51"/>
      <c r="BS19" s="51"/>
      <c r="BT19" s="51"/>
      <c r="BU19" s="51"/>
      <c r="BV19" s="51"/>
      <c r="BW19" s="51"/>
    </row>
    <row r="20" ht="17" spans="2:62">
      <c r="B20" s="85" t="s">
        <v>51</v>
      </c>
      <c r="C20" s="10"/>
      <c r="D20" s="10"/>
      <c r="E20" s="10"/>
      <c r="F20" s="68"/>
      <c r="G20" s="68"/>
      <c r="H20" s="68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10"/>
      <c r="Y20" s="10"/>
      <c r="Z20" s="85"/>
      <c r="AA20" s="85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68"/>
      <c r="BE20" s="68"/>
      <c r="BF20" s="68"/>
      <c r="BG20" s="68"/>
      <c r="BH20" s="68"/>
      <c r="BI20" s="7">
        <f t="shared" si="0"/>
        <v>0</v>
      </c>
      <c r="BJ20" s="85" t="s">
        <v>51</v>
      </c>
    </row>
    <row r="21" spans="2:61">
      <c r="B21" s="53"/>
      <c r="F21"/>
      <c r="G21"/>
      <c r="H21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BD21"/>
      <c r="BE21"/>
      <c r="BF21"/>
      <c r="BG21"/>
      <c r="BH21"/>
      <c r="BI21"/>
    </row>
    <row r="22" spans="2:61">
      <c r="B22" s="10" t="s">
        <v>52</v>
      </c>
      <c r="C22" s="10" t="s">
        <v>53</v>
      </c>
      <c r="D22" s="10" t="s">
        <v>54</v>
      </c>
      <c r="E22" s="10" t="s">
        <v>3</v>
      </c>
      <c r="F22"/>
      <c r="G22"/>
      <c r="H22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BD22"/>
      <c r="BE22"/>
      <c r="BF22"/>
      <c r="BG22"/>
      <c r="BH22"/>
      <c r="BI22"/>
    </row>
    <row r="23" spans="2:23">
      <c r="B23" s="2" t="s">
        <v>57</v>
      </c>
      <c r="C23" s="2">
        <v>43862</v>
      </c>
      <c r="D23" s="2">
        <v>43862</v>
      </c>
      <c r="E23" s="2">
        <v>43890</v>
      </c>
      <c r="F23"/>
      <c r="G23"/>
      <c r="H2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</row>
    <row r="24" spans="2:5">
      <c r="B24" s="54" t="s">
        <v>60</v>
      </c>
      <c r="C24" s="54">
        <v>834.47</v>
      </c>
      <c r="D24" s="54">
        <v>1000</v>
      </c>
      <c r="E24" s="54">
        <f>SUM(C24:D24)</f>
        <v>1834.47</v>
      </c>
    </row>
    <row r="25" spans="2:3">
      <c r="B25" s="53"/>
      <c r="C25" s="53"/>
    </row>
    <row r="26" spans="2:3">
      <c r="B26" s="53"/>
      <c r="C26" s="53"/>
    </row>
    <row r="27" spans="2:2">
      <c r="B27" s="53"/>
    </row>
    <row r="28" spans="2:2">
      <c r="B28" s="53"/>
    </row>
  </sheetData>
  <sheetProtection formatCells="0" insertHyperlinks="0" autoFilter="0"/>
  <mergeCells count="61"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N18"/>
    <mergeCell ref="AO18:AP18"/>
    <mergeCell ref="AQ18:AR18"/>
    <mergeCell ref="AS18:AT18"/>
    <mergeCell ref="AU18:AV18"/>
    <mergeCell ref="AW18:AX18"/>
    <mergeCell ref="AY18:AZ18"/>
    <mergeCell ref="BA18:BB18"/>
    <mergeCell ref="BC18:BD18"/>
    <mergeCell ref="BE18:BF18"/>
    <mergeCell ref="BG18:BH18"/>
    <mergeCell ref="A3:A6"/>
    <mergeCell ref="A7:A12"/>
    <mergeCell ref="BI3:BI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2:DQ34"/>
  <sheetViews>
    <sheetView zoomScale="88" zoomScaleNormal="88" topLeftCell="AM1" workbookViewId="0">
      <pane xSplit="27740" topLeftCell="A1" activePane="topLeft"/>
      <selection activeCell="BC31" sqref="BC31"/>
      <selection pane="topRight"/>
    </sheetView>
  </sheetViews>
  <sheetFormatPr defaultColWidth="9.81730769230769" defaultRowHeight="16.8"/>
  <cols>
    <col min="1" max="1" width="6" style="51" customWidth="1"/>
    <col min="2" max="2" width="20" style="51" customWidth="1"/>
    <col min="3" max="3" width="10.3076923076923" style="51" customWidth="1"/>
    <col min="4" max="4" width="10.9230769230769" style="51" customWidth="1"/>
    <col min="5" max="5" width="17.6153846153846" style="51" customWidth="1"/>
    <col min="6" max="6" width="8.69230769230769" style="51" customWidth="1"/>
    <col min="7" max="9" width="7.625" style="51" customWidth="1"/>
    <col min="10" max="10" width="6.69230769230769" style="51" customWidth="1"/>
    <col min="11" max="11" width="8.15384615384615" style="51" customWidth="1"/>
    <col min="12" max="12" width="6.69230769230769" style="51" customWidth="1"/>
    <col min="13" max="17" width="7.625" style="51" customWidth="1"/>
    <col min="18" max="18" width="7.69230769230769" style="51" customWidth="1"/>
    <col min="19" max="24" width="7.625" style="51" customWidth="1"/>
    <col min="25" max="25" width="6" style="51" customWidth="1"/>
    <col min="26" max="26" width="6.69230769230769" style="51" customWidth="1"/>
    <col min="27" max="27" width="15.1538461538462" style="154" customWidth="1"/>
    <col min="28" max="28" width="6.69230769230769" style="154" customWidth="1"/>
    <col min="29" max="30" width="7.625" style="51" customWidth="1"/>
    <col min="31" max="31" width="7.15384615384615" style="51" customWidth="1"/>
    <col min="32" max="32" width="5.69230769230769" style="51" customWidth="1"/>
    <col min="33" max="36" width="7.625" style="51" customWidth="1"/>
    <col min="37" max="37" width="10.3076923076923" style="51" customWidth="1"/>
    <col min="38" max="38" width="6.69230769230769" style="51" customWidth="1"/>
    <col min="39" max="39" width="15.1538461538462" style="51" customWidth="1"/>
    <col min="40" max="40" width="6.69230769230769" style="51" customWidth="1"/>
    <col min="41" max="50" width="7.625" style="51" customWidth="1"/>
    <col min="51" max="51" width="24.8461538461538" style="51" customWidth="1"/>
    <col min="52" max="52" width="7.69230769230769" style="51" customWidth="1"/>
    <col min="53" max="53" width="3.84615384615385" style="51" customWidth="1"/>
    <col min="54" max="54" width="7.69230769230769" style="51" customWidth="1"/>
    <col min="55" max="55" width="7.625" style="51" customWidth="1"/>
    <col min="56" max="56" width="6.69230769230769" style="51" customWidth="1"/>
    <col min="57" max="57" width="6" style="51" customWidth="1"/>
    <col min="58" max="58" width="6.69230769230769" style="51" customWidth="1"/>
    <col min="59" max="60" width="7.625" style="51" customWidth="1"/>
    <col min="61" max="61" width="3.84615384615385" style="51" customWidth="1"/>
    <col min="62" max="62" width="6.69230769230769" style="51" customWidth="1"/>
    <col min="63" max="64" width="7.625" style="51" customWidth="1"/>
    <col min="65" max="65" width="7.15384615384615" style="51" customWidth="1"/>
    <col min="66" max="66" width="10.3076923076923" style="51" customWidth="1"/>
    <col min="67" max="67" width="7.69230769230769" style="51" customWidth="1"/>
    <col min="68" max="68" width="7.625" style="51" customWidth="1"/>
    <col min="69" max="69" width="6.75" style="51" customWidth="1"/>
    <col min="70" max="14139" width="8.875" style="51"/>
    <col min="14140" max="14275" width="8.875" style="141"/>
  </cols>
  <sheetData>
    <row r="2" s="153" customFormat="1" ht="17" spans="1:66">
      <c r="A2" s="1"/>
      <c r="B2" s="100" t="s">
        <v>1</v>
      </c>
      <c r="C2" s="155">
        <v>43891</v>
      </c>
      <c r="D2" s="156"/>
      <c r="E2" s="155">
        <v>43892</v>
      </c>
      <c r="F2" s="156"/>
      <c r="G2" s="155">
        <v>43893</v>
      </c>
      <c r="H2" s="156"/>
      <c r="I2" s="155">
        <v>43894</v>
      </c>
      <c r="J2" s="156"/>
      <c r="K2" s="155">
        <v>43895</v>
      </c>
      <c r="L2" s="156"/>
      <c r="M2" s="155">
        <v>43896</v>
      </c>
      <c r="N2" s="156"/>
      <c r="O2" s="155">
        <v>43897</v>
      </c>
      <c r="P2" s="156"/>
      <c r="Q2" s="155">
        <v>43898</v>
      </c>
      <c r="R2" s="156"/>
      <c r="S2" s="155">
        <v>43899</v>
      </c>
      <c r="T2" s="156"/>
      <c r="U2" s="155">
        <v>43900</v>
      </c>
      <c r="V2" s="156"/>
      <c r="W2" s="155">
        <v>43901</v>
      </c>
      <c r="X2" s="156"/>
      <c r="Y2" s="155">
        <v>43902</v>
      </c>
      <c r="Z2" s="156"/>
      <c r="AA2" s="155">
        <v>43903</v>
      </c>
      <c r="AB2" s="156"/>
      <c r="AC2" s="155">
        <v>43904</v>
      </c>
      <c r="AD2" s="156"/>
      <c r="AE2" s="155">
        <v>43905</v>
      </c>
      <c r="AF2" s="156"/>
      <c r="AG2" s="155">
        <v>43906</v>
      </c>
      <c r="AH2" s="156"/>
      <c r="AI2" s="155">
        <v>43907</v>
      </c>
      <c r="AJ2" s="156"/>
      <c r="AK2" s="155">
        <v>43908</v>
      </c>
      <c r="AL2" s="156"/>
      <c r="AM2" s="155">
        <v>43909</v>
      </c>
      <c r="AN2" s="156"/>
      <c r="AO2" s="155">
        <v>43910</v>
      </c>
      <c r="AP2" s="156"/>
      <c r="AQ2" s="155">
        <v>43911</v>
      </c>
      <c r="AR2" s="156"/>
      <c r="AS2" s="155">
        <v>43912</v>
      </c>
      <c r="AT2" s="156"/>
      <c r="AU2" s="155">
        <v>43913</v>
      </c>
      <c r="AV2" s="156"/>
      <c r="AW2" s="155">
        <v>43914</v>
      </c>
      <c r="AX2" s="156"/>
      <c r="AY2" s="155">
        <v>43915</v>
      </c>
      <c r="AZ2" s="156"/>
      <c r="BA2" s="155">
        <v>43916</v>
      </c>
      <c r="BB2" s="156"/>
      <c r="BC2" s="155">
        <v>43917</v>
      </c>
      <c r="BD2" s="156"/>
      <c r="BE2" s="155">
        <v>43918</v>
      </c>
      <c r="BF2" s="156"/>
      <c r="BG2" s="155">
        <v>43919</v>
      </c>
      <c r="BH2" s="156"/>
      <c r="BI2" s="155">
        <v>43920</v>
      </c>
      <c r="BJ2" s="156"/>
      <c r="BK2" s="155">
        <v>43921</v>
      </c>
      <c r="BL2" s="156"/>
      <c r="BM2" s="166" t="s">
        <v>3</v>
      </c>
      <c r="BN2" s="100" t="s">
        <v>1</v>
      </c>
    </row>
    <row r="3" s="51" customFormat="1" spans="1:66">
      <c r="A3" s="8" t="s">
        <v>4</v>
      </c>
      <c r="B3" s="103" t="s">
        <v>5</v>
      </c>
      <c r="D3" s="63"/>
      <c r="E3" s="66"/>
      <c r="F3" s="67"/>
      <c r="H3" s="63"/>
      <c r="I3" s="9"/>
      <c r="J3" s="63"/>
      <c r="K3" s="9"/>
      <c r="L3" s="63"/>
      <c r="M3" s="9"/>
      <c r="N3" s="63"/>
      <c r="O3" s="9"/>
      <c r="P3" s="63"/>
      <c r="Q3" s="9"/>
      <c r="R3" s="63"/>
      <c r="S3" s="9"/>
      <c r="T3" s="63"/>
      <c r="U3" s="9"/>
      <c r="V3" s="63"/>
      <c r="W3" s="9"/>
      <c r="X3" s="63"/>
      <c r="Y3" s="9"/>
      <c r="Z3" s="63"/>
      <c r="AA3" s="9"/>
      <c r="AB3" s="63"/>
      <c r="AC3" s="9"/>
      <c r="AD3" s="63"/>
      <c r="AE3" s="9"/>
      <c r="AF3" s="63"/>
      <c r="AG3" s="9"/>
      <c r="AH3" s="63"/>
      <c r="AI3" s="9"/>
      <c r="AJ3" s="63"/>
      <c r="AK3" s="9"/>
      <c r="AL3" s="63"/>
      <c r="AM3" s="9"/>
      <c r="AN3" s="63"/>
      <c r="AO3" s="9"/>
      <c r="AP3" s="63"/>
      <c r="AQ3" s="9"/>
      <c r="AR3" s="63"/>
      <c r="AS3" s="9"/>
      <c r="AT3" s="63"/>
      <c r="AU3" s="9"/>
      <c r="AV3" s="63"/>
      <c r="AW3" s="9"/>
      <c r="AX3" s="63"/>
      <c r="AY3" s="9"/>
      <c r="AZ3" s="63"/>
      <c r="BA3" s="9"/>
      <c r="BB3" s="63"/>
      <c r="BC3" s="9"/>
      <c r="BD3" s="63"/>
      <c r="BE3" s="9"/>
      <c r="BF3" s="63"/>
      <c r="BG3" s="9"/>
      <c r="BH3" s="63"/>
      <c r="BI3" s="63"/>
      <c r="BJ3" s="63"/>
      <c r="BK3" s="63"/>
      <c r="BL3" s="63"/>
      <c r="BM3" s="7">
        <f>SUM(C3:BL6)</f>
        <v>210.9</v>
      </c>
      <c r="BN3" s="103" t="s">
        <v>5</v>
      </c>
    </row>
    <row r="4" s="51" customFormat="1" spans="1:66">
      <c r="A4" s="9"/>
      <c r="B4" s="103" t="s">
        <v>6</v>
      </c>
      <c r="D4" s="63"/>
      <c r="F4" s="63"/>
      <c r="H4" s="63"/>
      <c r="I4" s="9"/>
      <c r="J4" s="63"/>
      <c r="K4" s="9"/>
      <c r="L4" s="63"/>
      <c r="M4" s="9"/>
      <c r="N4" s="63"/>
      <c r="O4" s="9"/>
      <c r="P4" s="63"/>
      <c r="Q4" s="9"/>
      <c r="R4" s="63"/>
      <c r="S4" s="9"/>
      <c r="T4" s="63"/>
      <c r="U4" s="9"/>
      <c r="V4" s="63"/>
      <c r="W4" s="9"/>
      <c r="X4" s="63"/>
      <c r="Y4" s="9"/>
      <c r="Z4" s="63"/>
      <c r="AA4" s="9"/>
      <c r="AB4" s="63"/>
      <c r="AC4" s="9"/>
      <c r="AD4" s="63"/>
      <c r="AE4" s="9"/>
      <c r="AF4" s="63"/>
      <c r="AG4" s="9"/>
      <c r="AH4" s="63"/>
      <c r="AI4" s="9"/>
      <c r="AJ4" s="63"/>
      <c r="AK4" s="9"/>
      <c r="AL4" s="63"/>
      <c r="AM4" s="9"/>
      <c r="AN4" s="63"/>
      <c r="AO4" s="9"/>
      <c r="AP4" s="63"/>
      <c r="AQ4" s="9"/>
      <c r="AR4" s="63"/>
      <c r="AS4" s="9"/>
      <c r="AT4" s="63"/>
      <c r="AU4" s="9"/>
      <c r="AV4" s="63"/>
      <c r="AW4" s="9"/>
      <c r="AX4" s="63"/>
      <c r="AY4" s="9"/>
      <c r="AZ4" s="63"/>
      <c r="BA4" s="9"/>
      <c r="BB4" s="63"/>
      <c r="BC4" s="9"/>
      <c r="BD4" s="63"/>
      <c r="BE4" s="9"/>
      <c r="BF4" s="63"/>
      <c r="BG4" s="9"/>
      <c r="BH4" s="63"/>
      <c r="BI4" s="63"/>
      <c r="BJ4" s="63"/>
      <c r="BK4" s="63"/>
      <c r="BL4" s="63"/>
      <c r="BM4" s="7"/>
      <c r="BN4" s="103" t="s">
        <v>6</v>
      </c>
    </row>
    <row r="5" s="51" customFormat="1" spans="1:66">
      <c r="A5" s="9"/>
      <c r="B5" s="103" t="s">
        <v>7</v>
      </c>
      <c r="E5" s="159"/>
      <c r="G5" s="9"/>
      <c r="H5" s="63"/>
      <c r="I5" s="9"/>
      <c r="J5" s="63"/>
      <c r="K5" s="9"/>
      <c r="L5" s="63"/>
      <c r="M5" s="9"/>
      <c r="N5" s="63"/>
      <c r="O5" s="9"/>
      <c r="P5" s="63"/>
      <c r="Q5" s="9"/>
      <c r="R5" s="63"/>
      <c r="S5" s="9"/>
      <c r="T5" s="63"/>
      <c r="U5" s="9"/>
      <c r="V5" s="63"/>
      <c r="W5" s="9"/>
      <c r="X5" s="63"/>
      <c r="Y5" s="9"/>
      <c r="Z5" s="63"/>
      <c r="AA5" s="9"/>
      <c r="AB5" s="63"/>
      <c r="AC5" s="9"/>
      <c r="AD5" s="63"/>
      <c r="AE5" s="9"/>
      <c r="AF5" s="63"/>
      <c r="AG5" s="9"/>
      <c r="AH5" s="63"/>
      <c r="AI5" s="9"/>
      <c r="AJ5" s="63"/>
      <c r="AK5" s="9"/>
      <c r="AL5" s="63"/>
      <c r="AM5" s="9"/>
      <c r="AN5" s="63"/>
      <c r="AO5" s="9"/>
      <c r="AP5" s="63"/>
      <c r="AQ5" s="9"/>
      <c r="AR5" s="63"/>
      <c r="AS5" s="9"/>
      <c r="AT5" s="63"/>
      <c r="AU5" s="9"/>
      <c r="AV5" s="63"/>
      <c r="AW5" s="9"/>
      <c r="AX5" s="63"/>
      <c r="AY5" s="9"/>
      <c r="AZ5" s="63"/>
      <c r="BA5" s="9"/>
      <c r="BB5" s="63"/>
      <c r="BC5" s="9"/>
      <c r="BD5" s="63"/>
      <c r="BE5" s="9"/>
      <c r="BF5" s="63"/>
      <c r="BG5" s="9"/>
      <c r="BH5" s="63"/>
      <c r="BI5" s="63"/>
      <c r="BJ5" s="63"/>
      <c r="BK5" s="63"/>
      <c r="BL5" s="63"/>
      <c r="BM5" s="7"/>
      <c r="BN5" s="103" t="s">
        <v>7</v>
      </c>
    </row>
    <row r="6" s="51" customFormat="1" spans="1:66">
      <c r="A6" s="4"/>
      <c r="B6" s="104" t="s">
        <v>8</v>
      </c>
      <c r="C6" s="64"/>
      <c r="D6" s="64"/>
      <c r="E6" s="160"/>
      <c r="F6" s="64"/>
      <c r="G6" s="4"/>
      <c r="H6" s="65"/>
      <c r="I6" s="4"/>
      <c r="J6" s="65"/>
      <c r="K6" s="4"/>
      <c r="L6" s="65"/>
      <c r="M6" s="4"/>
      <c r="N6" s="65"/>
      <c r="O6" s="4"/>
      <c r="P6" s="65"/>
      <c r="Q6" s="4"/>
      <c r="R6" s="63">
        <v>145.2</v>
      </c>
      <c r="S6" s="4"/>
      <c r="T6" s="65"/>
      <c r="U6" s="4"/>
      <c r="V6" s="65"/>
      <c r="W6" s="4"/>
      <c r="X6" s="65"/>
      <c r="Y6" s="4"/>
      <c r="Z6" s="65"/>
      <c r="AA6" s="4" t="s">
        <v>75</v>
      </c>
      <c r="AB6" s="63">
        <v>65.7</v>
      </c>
      <c r="AC6" s="4"/>
      <c r="AD6" s="65"/>
      <c r="AE6" s="4"/>
      <c r="AF6" s="65"/>
      <c r="AG6" s="4"/>
      <c r="AH6" s="65"/>
      <c r="AI6" s="4"/>
      <c r="AJ6" s="65"/>
      <c r="AK6" s="4"/>
      <c r="AL6" s="65"/>
      <c r="AM6" s="4"/>
      <c r="AN6" s="65"/>
      <c r="AO6" s="4"/>
      <c r="AP6" s="65"/>
      <c r="AQ6" s="4"/>
      <c r="AR6" s="65"/>
      <c r="AS6" s="4"/>
      <c r="AT6" s="65"/>
      <c r="AU6" s="4"/>
      <c r="AV6" s="65"/>
      <c r="AW6" s="4"/>
      <c r="AX6" s="65"/>
      <c r="AY6" s="4"/>
      <c r="AZ6" s="65"/>
      <c r="BA6" s="4"/>
      <c r="BB6" s="65"/>
      <c r="BC6" s="4"/>
      <c r="BD6" s="65"/>
      <c r="BE6" s="4"/>
      <c r="BF6" s="65"/>
      <c r="BG6" s="4"/>
      <c r="BH6" s="65"/>
      <c r="BI6" s="65"/>
      <c r="BJ6" s="65"/>
      <c r="BK6" s="65"/>
      <c r="BL6" s="65"/>
      <c r="BM6" s="7"/>
      <c r="BN6" s="104" t="s">
        <v>8</v>
      </c>
    </row>
    <row r="7" s="51" customFormat="1" spans="1:67">
      <c r="A7" s="8" t="s">
        <v>10</v>
      </c>
      <c r="B7" s="105" t="s">
        <v>11</v>
      </c>
      <c r="D7" s="63"/>
      <c r="E7" s="161"/>
      <c r="F7" s="66"/>
      <c r="G7" s="162"/>
      <c r="H7" s="163"/>
      <c r="I7" s="162"/>
      <c r="J7" s="163"/>
      <c r="K7" s="162"/>
      <c r="L7" s="163"/>
      <c r="M7" s="162"/>
      <c r="N7" s="163"/>
      <c r="O7" s="162"/>
      <c r="P7" s="163"/>
      <c r="Q7" s="162"/>
      <c r="R7" s="163"/>
      <c r="S7" s="162"/>
      <c r="T7" s="163"/>
      <c r="U7" s="162"/>
      <c r="V7" s="163"/>
      <c r="W7" s="162"/>
      <c r="X7" s="163"/>
      <c r="Y7" s="162"/>
      <c r="Z7" s="163"/>
      <c r="AA7" s="162"/>
      <c r="AB7" s="163"/>
      <c r="AC7" s="162"/>
      <c r="AD7" s="163"/>
      <c r="AE7" s="162"/>
      <c r="AF7" s="163"/>
      <c r="AG7" s="162"/>
      <c r="AH7" s="163"/>
      <c r="AI7" s="162"/>
      <c r="AJ7" s="163"/>
      <c r="AK7" s="162"/>
      <c r="AL7" s="163"/>
      <c r="AM7" s="162"/>
      <c r="AN7" s="163"/>
      <c r="AO7" s="162"/>
      <c r="AP7" s="163"/>
      <c r="AQ7" s="162"/>
      <c r="AR7" s="163"/>
      <c r="AS7" s="162"/>
      <c r="AT7" s="163"/>
      <c r="AU7" s="162"/>
      <c r="AV7" s="163"/>
      <c r="AW7" s="162"/>
      <c r="AX7" s="163"/>
      <c r="AY7" s="162"/>
      <c r="AZ7" s="163"/>
      <c r="BA7" s="162"/>
      <c r="BB7" s="163"/>
      <c r="BC7" s="162"/>
      <c r="BD7" s="163"/>
      <c r="BE7" s="162"/>
      <c r="BF7" s="163"/>
      <c r="BG7" s="162"/>
      <c r="BH7" s="163"/>
      <c r="BI7" s="161"/>
      <c r="BJ7" s="161"/>
      <c r="BK7" s="161"/>
      <c r="BL7" s="161"/>
      <c r="BM7" s="12">
        <f>SUM(C7:BL7)</f>
        <v>0</v>
      </c>
      <c r="BN7" s="105" t="s">
        <v>11</v>
      </c>
      <c r="BO7"/>
    </row>
    <row r="8" s="51" customFormat="1" spans="1:67">
      <c r="A8" s="9"/>
      <c r="B8" s="105" t="s">
        <v>15</v>
      </c>
      <c r="D8" s="63"/>
      <c r="E8" s="154"/>
      <c r="G8" s="159"/>
      <c r="H8" s="164"/>
      <c r="I8" s="159"/>
      <c r="J8" s="164"/>
      <c r="K8" s="159"/>
      <c r="L8" s="164"/>
      <c r="M8" s="159"/>
      <c r="N8" s="164"/>
      <c r="O8" s="159"/>
      <c r="P8" s="164"/>
      <c r="Q8" s="159"/>
      <c r="R8" s="154"/>
      <c r="S8" s="159"/>
      <c r="T8" s="164"/>
      <c r="U8" s="159"/>
      <c r="V8" s="164"/>
      <c r="W8" s="159"/>
      <c r="X8" s="164"/>
      <c r="Y8" s="159"/>
      <c r="Z8" s="164"/>
      <c r="AA8" s="159"/>
      <c r="AB8" s="164"/>
      <c r="AC8" s="159"/>
      <c r="AD8" s="164"/>
      <c r="AE8" s="159"/>
      <c r="AF8" s="164"/>
      <c r="AG8" s="159"/>
      <c r="AH8" s="164"/>
      <c r="AI8" s="159"/>
      <c r="AJ8" s="164"/>
      <c r="AK8" s="159"/>
      <c r="AL8" s="164"/>
      <c r="AM8" s="159"/>
      <c r="AN8" s="164"/>
      <c r="AO8" s="159"/>
      <c r="AP8" s="164"/>
      <c r="AQ8" s="159"/>
      <c r="AR8" s="164"/>
      <c r="AS8" s="159"/>
      <c r="AT8" s="164"/>
      <c r="AU8" s="159"/>
      <c r="AV8" s="164"/>
      <c r="AW8" s="159"/>
      <c r="AX8" s="164"/>
      <c r="AY8" s="159"/>
      <c r="AZ8" s="164"/>
      <c r="BA8" s="159"/>
      <c r="BB8" s="164"/>
      <c r="BC8" s="159"/>
      <c r="BD8" s="164"/>
      <c r="BE8" s="159"/>
      <c r="BF8" s="164"/>
      <c r="BG8" s="159"/>
      <c r="BH8" s="164"/>
      <c r="BI8" s="154"/>
      <c r="BJ8" s="154"/>
      <c r="BK8" s="154"/>
      <c r="BL8" s="154"/>
      <c r="BM8" s="12">
        <f>SUM(C8:BL8)</f>
        <v>0</v>
      </c>
      <c r="BN8" s="105" t="s">
        <v>15</v>
      </c>
      <c r="BO8"/>
    </row>
    <row r="9" s="51" customFormat="1" spans="1:67">
      <c r="A9" s="9"/>
      <c r="B9" s="106" t="s">
        <v>16</v>
      </c>
      <c r="D9" s="63"/>
      <c r="E9" s="154"/>
      <c r="G9" s="9"/>
      <c r="H9" s="63"/>
      <c r="I9" s="9"/>
      <c r="J9" s="63"/>
      <c r="K9" s="9" t="s">
        <v>76</v>
      </c>
      <c r="L9" s="63">
        <v>30</v>
      </c>
      <c r="M9" s="9"/>
      <c r="N9" s="63"/>
      <c r="O9" s="9"/>
      <c r="P9" s="63"/>
      <c r="Q9" s="9"/>
      <c r="S9" s="9"/>
      <c r="T9" s="63"/>
      <c r="U9" s="9"/>
      <c r="V9" s="63"/>
      <c r="W9" s="9"/>
      <c r="X9" s="63"/>
      <c r="Y9" s="9"/>
      <c r="Z9" s="63"/>
      <c r="AA9" s="9"/>
      <c r="AB9" s="63"/>
      <c r="AC9" s="9"/>
      <c r="AD9" s="63"/>
      <c r="AE9" s="9"/>
      <c r="AF9" s="63"/>
      <c r="AG9" s="9"/>
      <c r="AH9" s="63"/>
      <c r="AI9" s="9"/>
      <c r="AJ9" s="63"/>
      <c r="AK9" s="9"/>
      <c r="AL9" s="63"/>
      <c r="AM9" s="9"/>
      <c r="AN9" s="63"/>
      <c r="AO9" s="9"/>
      <c r="AP9" s="63"/>
      <c r="AQ9" s="9"/>
      <c r="AR9" s="63"/>
      <c r="AS9" s="9"/>
      <c r="AT9" s="63"/>
      <c r="AU9" s="9"/>
      <c r="AV9" s="63"/>
      <c r="AW9" s="9"/>
      <c r="AX9" s="63"/>
      <c r="AY9" s="9" t="s">
        <v>77</v>
      </c>
      <c r="AZ9" s="63">
        <v>35</v>
      </c>
      <c r="BA9" s="9"/>
      <c r="BB9" s="63"/>
      <c r="BC9" s="9"/>
      <c r="BD9" s="63"/>
      <c r="BE9" s="9"/>
      <c r="BF9" s="63"/>
      <c r="BG9" s="9"/>
      <c r="BH9" s="63"/>
      <c r="BM9" s="12">
        <f t="shared" ref="BM9:BM20" si="0">SUM(C9:BL9)</f>
        <v>65</v>
      </c>
      <c r="BN9" s="106" t="s">
        <v>16</v>
      </c>
      <c r="BO9"/>
    </row>
    <row r="10" s="51" customFormat="1" spans="1:67">
      <c r="A10" s="9"/>
      <c r="B10" s="107" t="s">
        <v>21</v>
      </c>
      <c r="C10" s="51" t="s">
        <v>78</v>
      </c>
      <c r="D10" s="63">
        <v>10</v>
      </c>
      <c r="G10" s="9"/>
      <c r="H10" s="63"/>
      <c r="J10" s="63"/>
      <c r="M10" s="9"/>
      <c r="N10" s="63"/>
      <c r="O10" s="9"/>
      <c r="P10" s="63"/>
      <c r="Q10" s="9"/>
      <c r="R10" s="63"/>
      <c r="S10" s="9"/>
      <c r="T10" s="63"/>
      <c r="U10" s="9"/>
      <c r="V10" s="63"/>
      <c r="W10" s="9"/>
      <c r="X10" s="63"/>
      <c r="Y10" s="9" t="s">
        <v>79</v>
      </c>
      <c r="Z10" s="63">
        <v>12</v>
      </c>
      <c r="AA10" s="9"/>
      <c r="AB10" s="63"/>
      <c r="AC10" s="9"/>
      <c r="AD10" s="63"/>
      <c r="AE10" s="9" t="s">
        <v>80</v>
      </c>
      <c r="AF10" s="63">
        <v>6</v>
      </c>
      <c r="AG10" s="9"/>
      <c r="AH10" s="63"/>
      <c r="AI10" s="9"/>
      <c r="AJ10" s="63"/>
      <c r="AK10" s="9" t="s">
        <v>65</v>
      </c>
      <c r="AL10" s="63">
        <v>19</v>
      </c>
      <c r="AM10" s="9" t="s">
        <v>81</v>
      </c>
      <c r="AN10" s="63">
        <v>10</v>
      </c>
      <c r="AO10" s="9"/>
      <c r="AP10" s="63"/>
      <c r="AQ10" s="9"/>
      <c r="AR10" s="63"/>
      <c r="AS10" s="9"/>
      <c r="AT10" s="63"/>
      <c r="AU10" s="9"/>
      <c r="AV10" s="63"/>
      <c r="AW10" s="9"/>
      <c r="AX10" s="63"/>
      <c r="AY10" s="9"/>
      <c r="AZ10" s="63">
        <v>4.8</v>
      </c>
      <c r="BA10" s="9"/>
      <c r="BB10" s="63"/>
      <c r="BC10" s="9"/>
      <c r="BD10" s="63">
        <v>25</v>
      </c>
      <c r="BE10" s="9"/>
      <c r="BF10" s="63"/>
      <c r="BG10" s="9"/>
      <c r="BH10" s="63"/>
      <c r="BM10" s="12">
        <f t="shared" si="0"/>
        <v>86.8</v>
      </c>
      <c r="BN10" s="107" t="s">
        <v>21</v>
      </c>
      <c r="BO10"/>
    </row>
    <row r="11" s="51" customFormat="1" spans="1:67">
      <c r="A11" s="9"/>
      <c r="B11" s="107" t="s">
        <v>26</v>
      </c>
      <c r="E11" s="9"/>
      <c r="F11" s="63"/>
      <c r="G11" s="9"/>
      <c r="H11" s="63"/>
      <c r="I11" s="9"/>
      <c r="J11" s="63"/>
      <c r="K11" s="9"/>
      <c r="L11" s="63"/>
      <c r="M11" s="9"/>
      <c r="N11" s="63"/>
      <c r="O11" s="9"/>
      <c r="P11" s="63"/>
      <c r="Q11" s="9"/>
      <c r="R11" s="63"/>
      <c r="S11" s="9"/>
      <c r="T11" s="63"/>
      <c r="U11" s="9"/>
      <c r="V11" s="63"/>
      <c r="W11" s="9"/>
      <c r="X11" s="63"/>
      <c r="Y11" s="9"/>
      <c r="Z11" s="63"/>
      <c r="AA11" s="9"/>
      <c r="AC11" s="9"/>
      <c r="AD11" s="63"/>
      <c r="AE11" s="9"/>
      <c r="AF11" s="63"/>
      <c r="AG11" s="9"/>
      <c r="AH11" s="63"/>
      <c r="AI11" s="9"/>
      <c r="AJ11" s="63"/>
      <c r="AK11" s="9"/>
      <c r="AL11" s="63"/>
      <c r="AM11" s="9"/>
      <c r="AN11" s="63"/>
      <c r="AO11" s="9"/>
      <c r="AP11" s="63"/>
      <c r="AQ11" s="9"/>
      <c r="AR11" s="63"/>
      <c r="AS11" s="9"/>
      <c r="AT11" s="63"/>
      <c r="AU11" s="9"/>
      <c r="AV11" s="63"/>
      <c r="AW11" s="9"/>
      <c r="AX11" s="63"/>
      <c r="AY11" s="9"/>
      <c r="AZ11" s="63"/>
      <c r="BA11" s="9"/>
      <c r="BB11" s="63"/>
      <c r="BC11" s="9"/>
      <c r="BD11" s="63"/>
      <c r="BE11" s="9"/>
      <c r="BF11" s="63"/>
      <c r="BG11" s="9"/>
      <c r="BH11" s="63"/>
      <c r="BM11" s="12">
        <f t="shared" si="0"/>
        <v>0</v>
      </c>
      <c r="BN11" s="107" t="s">
        <v>26</v>
      </c>
      <c r="BO11"/>
    </row>
    <row r="12" s="51" customFormat="1" spans="1:67">
      <c r="A12" s="9"/>
      <c r="B12" s="107" t="s">
        <v>29</v>
      </c>
      <c r="C12" s="154"/>
      <c r="E12" s="9"/>
      <c r="F12" s="63"/>
      <c r="G12" s="9"/>
      <c r="H12" s="63"/>
      <c r="I12" s="9"/>
      <c r="J12" s="63"/>
      <c r="K12" s="9"/>
      <c r="L12" s="63"/>
      <c r="M12" s="9"/>
      <c r="N12" s="63"/>
      <c r="O12" s="9"/>
      <c r="P12" s="63"/>
      <c r="Q12" s="9"/>
      <c r="R12" s="63"/>
      <c r="S12" s="9"/>
      <c r="T12" s="63"/>
      <c r="U12" s="9"/>
      <c r="V12" s="63"/>
      <c r="W12" s="9"/>
      <c r="X12" s="63"/>
      <c r="Y12" s="9"/>
      <c r="Z12" s="63"/>
      <c r="AA12" s="9"/>
      <c r="AB12" s="63"/>
      <c r="AC12" s="9"/>
      <c r="AD12" s="63"/>
      <c r="AE12" s="9"/>
      <c r="AF12" s="63"/>
      <c r="AG12" s="9"/>
      <c r="AH12" s="63"/>
      <c r="AI12" s="9"/>
      <c r="AJ12" s="63"/>
      <c r="AK12" s="9"/>
      <c r="AL12" s="63"/>
      <c r="AM12" s="9"/>
      <c r="AN12" s="63"/>
      <c r="AO12" s="9"/>
      <c r="AP12" s="63"/>
      <c r="AQ12" s="9"/>
      <c r="AR12" s="63"/>
      <c r="AS12" s="9"/>
      <c r="AT12" s="63"/>
      <c r="AU12" s="9"/>
      <c r="AV12" s="63"/>
      <c r="AW12" s="9"/>
      <c r="AX12" s="63"/>
      <c r="AY12" s="9"/>
      <c r="AZ12" s="63"/>
      <c r="BA12" s="9"/>
      <c r="BB12" s="63"/>
      <c r="BC12" s="9"/>
      <c r="BD12" s="63"/>
      <c r="BE12" s="9"/>
      <c r="BF12" s="63"/>
      <c r="BG12" s="9"/>
      <c r="BH12" s="63"/>
      <c r="BM12" s="12">
        <f t="shared" si="0"/>
        <v>0</v>
      </c>
      <c r="BN12" s="107" t="s">
        <v>29</v>
      </c>
      <c r="BO12"/>
    </row>
    <row r="13" s="77" customFormat="1" spans="1:121">
      <c r="A13" s="14" t="s">
        <v>30</v>
      </c>
      <c r="B13" s="108" t="s">
        <v>31</v>
      </c>
      <c r="C13" s="157"/>
      <c r="D13" s="48"/>
      <c r="E13" s="157"/>
      <c r="F13" s="48"/>
      <c r="G13" s="157"/>
      <c r="H13" s="48"/>
      <c r="I13" s="10"/>
      <c r="K13" s="10"/>
      <c r="L13" s="14"/>
      <c r="M13" s="10"/>
      <c r="N13" s="14"/>
      <c r="O13" s="10"/>
      <c r="P13" s="14"/>
      <c r="Q13" s="10"/>
      <c r="R13" s="14"/>
      <c r="S13" s="10"/>
      <c r="T13" s="14"/>
      <c r="U13" s="10"/>
      <c r="V13" s="14"/>
      <c r="W13" s="10"/>
      <c r="X13" s="14"/>
      <c r="Y13" s="10"/>
      <c r="Z13" s="14"/>
      <c r="AA13" s="10"/>
      <c r="AB13" s="14"/>
      <c r="AC13" s="10"/>
      <c r="AD13" s="14"/>
      <c r="AE13" s="10"/>
      <c r="AF13" s="14"/>
      <c r="AG13" s="10"/>
      <c r="AH13" s="10"/>
      <c r="AK13" s="10"/>
      <c r="AL13" s="14"/>
      <c r="AM13" s="10"/>
      <c r="AN13" s="14"/>
      <c r="AO13" s="10"/>
      <c r="AP13" s="14"/>
      <c r="AQ13" s="10"/>
      <c r="AR13" s="14"/>
      <c r="AS13" s="10"/>
      <c r="AT13" s="14"/>
      <c r="AU13" s="10"/>
      <c r="AV13" s="14"/>
      <c r="AW13" s="10"/>
      <c r="AX13" s="14"/>
      <c r="AY13" s="10" t="s">
        <v>69</v>
      </c>
      <c r="AZ13" s="14">
        <f>7.9+100</f>
        <v>107.9</v>
      </c>
      <c r="BA13" s="10"/>
      <c r="BB13" s="14"/>
      <c r="BC13" s="10"/>
      <c r="BD13" s="14"/>
      <c r="BE13" s="144" t="s">
        <v>82</v>
      </c>
      <c r="BF13" s="67">
        <v>20</v>
      </c>
      <c r="BG13" s="10"/>
      <c r="BH13" s="14"/>
      <c r="BI13" s="14"/>
      <c r="BJ13" s="14"/>
      <c r="BK13" s="14"/>
      <c r="BL13" s="14"/>
      <c r="BM13" s="7">
        <f t="shared" si="0"/>
        <v>127.9</v>
      </c>
      <c r="BN13" s="10" t="s">
        <v>31</v>
      </c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  <c r="DK13" s="51"/>
      <c r="DL13" s="51"/>
      <c r="DM13" s="51"/>
      <c r="DN13" s="51"/>
      <c r="DO13" s="51"/>
      <c r="DP13" s="51"/>
      <c r="DQ13" s="51"/>
    </row>
    <row r="14" s="77" customFormat="1" spans="1:121">
      <c r="A14" s="14" t="s">
        <v>35</v>
      </c>
      <c r="B14" s="47" t="s">
        <v>36</v>
      </c>
      <c r="C14" s="10"/>
      <c r="D14" s="10"/>
      <c r="E14" s="10"/>
      <c r="F14" s="10"/>
      <c r="G14" s="10"/>
      <c r="H14" s="10"/>
      <c r="I14" s="131"/>
      <c r="J14" s="63"/>
      <c r="K14" s="10"/>
      <c r="L14" s="14"/>
      <c r="M14" s="10"/>
      <c r="N14" s="14"/>
      <c r="O14" s="10"/>
      <c r="P14" s="14"/>
      <c r="Q14" s="10"/>
      <c r="R14" s="14"/>
      <c r="S14" s="10"/>
      <c r="T14" s="14"/>
      <c r="U14" s="10"/>
      <c r="V14" s="14"/>
      <c r="W14" s="10"/>
      <c r="X14" s="14"/>
      <c r="Y14" s="10"/>
      <c r="Z14" s="14"/>
      <c r="AA14" s="10"/>
      <c r="AB14" s="14"/>
      <c r="AC14" s="10"/>
      <c r="AD14" s="14"/>
      <c r="AE14" s="10"/>
      <c r="AF14" s="14"/>
      <c r="AG14" s="10"/>
      <c r="AH14" s="14"/>
      <c r="AI14" s="10"/>
      <c r="AJ14" s="14"/>
      <c r="AK14" s="10"/>
      <c r="AL14" s="14"/>
      <c r="AM14" s="10"/>
      <c r="AN14" s="14"/>
      <c r="AO14" s="10"/>
      <c r="AP14" s="14"/>
      <c r="AQ14" s="10"/>
      <c r="AR14" s="14"/>
      <c r="AS14" s="10"/>
      <c r="AT14" s="14"/>
      <c r="AU14" s="10"/>
      <c r="AV14" s="14"/>
      <c r="AW14" s="10"/>
      <c r="AX14" s="14"/>
      <c r="AY14" s="10"/>
      <c r="AZ14" s="14"/>
      <c r="BA14" s="10"/>
      <c r="BB14" s="14"/>
      <c r="BC14" s="10"/>
      <c r="BD14" s="14"/>
      <c r="BE14" s="10"/>
      <c r="BF14" s="14"/>
      <c r="BG14" s="10"/>
      <c r="BH14" s="14"/>
      <c r="BI14" s="14"/>
      <c r="BJ14" s="14"/>
      <c r="BK14" s="14"/>
      <c r="BL14" s="14"/>
      <c r="BM14" s="7">
        <f t="shared" si="0"/>
        <v>0</v>
      </c>
      <c r="BN14" s="10" t="s">
        <v>36</v>
      </c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51"/>
      <c r="DG14" s="51"/>
      <c r="DH14" s="51"/>
      <c r="DI14" s="51"/>
      <c r="DJ14" s="51"/>
      <c r="DK14" s="51"/>
      <c r="DL14" s="51"/>
      <c r="DM14" s="51"/>
      <c r="DN14" s="51"/>
      <c r="DO14" s="51"/>
      <c r="DP14" s="51"/>
      <c r="DQ14" s="51"/>
    </row>
    <row r="15" s="77" customFormat="1" spans="1:121">
      <c r="A15" s="14" t="s">
        <v>38</v>
      </c>
      <c r="B15" s="47" t="s">
        <v>39</v>
      </c>
      <c r="C15" s="10"/>
      <c r="D15" s="10"/>
      <c r="E15" s="10"/>
      <c r="F15" s="48">
        <v>2</v>
      </c>
      <c r="G15" s="10"/>
      <c r="H15" s="10"/>
      <c r="I15" s="10"/>
      <c r="J15" s="10">
        <f>16.6+12+19</f>
        <v>47.6</v>
      </c>
      <c r="K15" s="10"/>
      <c r="L15" s="14"/>
      <c r="M15" s="10"/>
      <c r="N15" s="14"/>
      <c r="O15" s="10"/>
      <c r="P15" s="14"/>
      <c r="Q15" s="10"/>
      <c r="R15" s="14"/>
      <c r="S15" s="10"/>
      <c r="T15" s="14"/>
      <c r="U15" s="10"/>
      <c r="V15" s="14"/>
      <c r="W15" s="10"/>
      <c r="X15" s="14"/>
      <c r="Y15" s="10"/>
      <c r="Z15" s="14"/>
      <c r="AA15" s="10"/>
      <c r="AB15" s="14"/>
      <c r="AC15" s="10"/>
      <c r="AD15" s="14"/>
      <c r="AE15" s="10"/>
      <c r="AF15" s="14"/>
      <c r="AG15" s="10"/>
      <c r="AH15" s="14"/>
      <c r="AI15" s="10"/>
      <c r="AJ15" s="14"/>
      <c r="AK15" s="10"/>
      <c r="AL15" s="14"/>
      <c r="AM15" s="10"/>
      <c r="AN15" s="14"/>
      <c r="AO15" s="10"/>
      <c r="AP15" s="14"/>
      <c r="AQ15" s="10"/>
      <c r="AR15" s="14"/>
      <c r="AS15" s="10"/>
      <c r="AT15" s="14"/>
      <c r="AU15" s="10"/>
      <c r="AV15" s="14"/>
      <c r="AW15" s="10"/>
      <c r="AX15" s="14"/>
      <c r="AY15" s="10"/>
      <c r="AZ15" s="14"/>
      <c r="BA15" s="10"/>
      <c r="BB15" s="14"/>
      <c r="BC15" s="10"/>
      <c r="BD15" s="14"/>
      <c r="BE15" s="10"/>
      <c r="BF15" s="14"/>
      <c r="BG15" s="10"/>
      <c r="BH15" s="14"/>
      <c r="BI15" s="14"/>
      <c r="BJ15" s="14"/>
      <c r="BK15" s="14"/>
      <c r="BL15" s="14"/>
      <c r="BM15" s="7">
        <f t="shared" si="0"/>
        <v>49.6</v>
      </c>
      <c r="BN15" s="10" t="s">
        <v>39</v>
      </c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1"/>
      <c r="DL15" s="51"/>
      <c r="DM15" s="51"/>
      <c r="DN15" s="51"/>
      <c r="DO15" s="51"/>
      <c r="DP15" s="51"/>
      <c r="DQ15" s="51"/>
    </row>
    <row r="16" s="77" customFormat="1" spans="1:121">
      <c r="A16" s="14" t="s">
        <v>42</v>
      </c>
      <c r="B16" s="108" t="s">
        <v>43</v>
      </c>
      <c r="C16" s="48"/>
      <c r="D16" s="10"/>
      <c r="E16" s="48"/>
      <c r="G16" s="48"/>
      <c r="H16" s="10"/>
      <c r="I16" s="10"/>
      <c r="K16" s="10"/>
      <c r="L16" s="14"/>
      <c r="M16" s="10"/>
      <c r="N16" s="14"/>
      <c r="O16" s="10"/>
      <c r="P16" s="14"/>
      <c r="Q16" s="10"/>
      <c r="R16" s="14"/>
      <c r="S16" s="10"/>
      <c r="T16" s="14"/>
      <c r="U16" s="10"/>
      <c r="V16" s="14"/>
      <c r="W16" s="10"/>
      <c r="X16" s="14"/>
      <c r="Y16" s="10"/>
      <c r="Z16" s="14"/>
      <c r="AA16" s="10"/>
      <c r="AB16" s="14"/>
      <c r="AC16" s="10"/>
      <c r="AD16" s="14"/>
      <c r="AE16" s="10"/>
      <c r="AF16" s="14"/>
      <c r="AG16" s="10"/>
      <c r="AH16" s="14"/>
      <c r="AI16" s="10"/>
      <c r="AJ16" s="14"/>
      <c r="AK16" s="10"/>
      <c r="AL16" s="14"/>
      <c r="AM16" s="10"/>
      <c r="AN16" s="14"/>
      <c r="AO16" s="10"/>
      <c r="AP16" s="14"/>
      <c r="AQ16" s="10"/>
      <c r="AR16" s="14"/>
      <c r="AS16" s="10"/>
      <c r="AT16" s="14"/>
      <c r="AU16" s="10"/>
      <c r="AV16" s="14"/>
      <c r="AW16" s="10"/>
      <c r="AX16" s="14"/>
      <c r="AY16" s="10"/>
      <c r="AZ16" s="14"/>
      <c r="BA16" s="10" t="s">
        <v>83</v>
      </c>
      <c r="BB16" s="14">
        <v>102.6</v>
      </c>
      <c r="BC16" s="10"/>
      <c r="BD16" s="14"/>
      <c r="BE16" s="10"/>
      <c r="BF16" s="14"/>
      <c r="BG16" s="10"/>
      <c r="BH16" s="14"/>
      <c r="BI16" s="14" t="s">
        <v>83</v>
      </c>
      <c r="BJ16" s="14">
        <v>28.6</v>
      </c>
      <c r="BK16" s="14"/>
      <c r="BL16" s="14"/>
      <c r="BM16" s="7">
        <f t="shared" si="0"/>
        <v>131.2</v>
      </c>
      <c r="BN16" s="10" t="s">
        <v>43</v>
      </c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1"/>
      <c r="DL16" s="51"/>
      <c r="DM16" s="51"/>
      <c r="DN16" s="51"/>
      <c r="DO16" s="51"/>
      <c r="DP16" s="51"/>
      <c r="DQ16" s="51"/>
    </row>
    <row r="17" s="51" customFormat="1" spans="1:66">
      <c r="A17" s="167" t="s">
        <v>45</v>
      </c>
      <c r="B17" s="10" t="s">
        <v>46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7">
        <f t="shared" si="0"/>
        <v>0</v>
      </c>
      <c r="BN17" s="10" t="s">
        <v>46</v>
      </c>
    </row>
    <row r="18" s="51" customFormat="1" ht="17" spans="1:66">
      <c r="A18" s="10"/>
      <c r="B18" s="168" t="s">
        <v>47</v>
      </c>
      <c r="C18" s="14">
        <f>SUM(D3:D16)</f>
        <v>10</v>
      </c>
      <c r="D18" s="48"/>
      <c r="E18" s="14">
        <f>SUM(F3:F15)</f>
        <v>2</v>
      </c>
      <c r="F18" s="48"/>
      <c r="G18" s="14">
        <f>SUM(H3:H16)</f>
        <v>0</v>
      </c>
      <c r="H18" s="48"/>
      <c r="I18" s="14">
        <f>SUM(J3:J15)</f>
        <v>47.6</v>
      </c>
      <c r="J18" s="48"/>
      <c r="K18" s="14">
        <f>SUM(L3:L16)</f>
        <v>30</v>
      </c>
      <c r="L18" s="48"/>
      <c r="M18" s="14">
        <f>SUM(N3:N16)</f>
        <v>0</v>
      </c>
      <c r="N18" s="48"/>
      <c r="O18" s="14">
        <f>SUM(P3:P16)</f>
        <v>0</v>
      </c>
      <c r="P18" s="48"/>
      <c r="Q18" s="14">
        <f>SUM(R3:R16)</f>
        <v>145.2</v>
      </c>
      <c r="R18" s="48"/>
      <c r="S18" s="14">
        <f>SUM(T3:T16)</f>
        <v>0</v>
      </c>
      <c r="T18" s="48"/>
      <c r="U18" s="14">
        <f>SUM(V3:V16)</f>
        <v>0</v>
      </c>
      <c r="V18" s="48"/>
      <c r="W18" s="14">
        <f>SUM(X3:X16)</f>
        <v>0</v>
      </c>
      <c r="X18" s="48"/>
      <c r="Y18" s="14">
        <f>SUM(Z3:Z16)</f>
        <v>12</v>
      </c>
      <c r="Z18" s="48"/>
      <c r="AA18" s="14">
        <f>SUM(AB3:AB16)</f>
        <v>65.7</v>
      </c>
      <c r="AB18" s="48"/>
      <c r="AC18" s="14">
        <f>SUM(AD3:AD16)</f>
        <v>0</v>
      </c>
      <c r="AD18" s="48"/>
      <c r="AE18" s="14">
        <f>SUM(AF3:AF16)</f>
        <v>6</v>
      </c>
      <c r="AF18" s="48"/>
      <c r="AG18" s="14">
        <f>SUM(AH3:AH16)</f>
        <v>0</v>
      </c>
      <c r="AH18" s="48"/>
      <c r="AI18" s="14">
        <f>SUM(AJ3:AJ16)</f>
        <v>0</v>
      </c>
      <c r="AJ18" s="48"/>
      <c r="AK18" s="14">
        <f>SUM(AL3:AL16)</f>
        <v>19</v>
      </c>
      <c r="AL18" s="48"/>
      <c r="AM18" s="14">
        <f>SUM(AN3:AN16)</f>
        <v>10</v>
      </c>
      <c r="AN18" s="48"/>
      <c r="AO18" s="14">
        <f>SUM(AP3:AP16)</f>
        <v>0</v>
      </c>
      <c r="AP18" s="48"/>
      <c r="AQ18" s="14">
        <f>SUM(AR3:AR16)</f>
        <v>0</v>
      </c>
      <c r="AR18" s="48"/>
      <c r="AS18" s="14">
        <f>SUM(AT3:AT16)</f>
        <v>0</v>
      </c>
      <c r="AT18" s="48"/>
      <c r="AU18" s="14">
        <f>SUM(AV3:AV16)</f>
        <v>0</v>
      </c>
      <c r="AV18" s="48"/>
      <c r="AW18" s="14">
        <f>SUM(AX3:AX16)</f>
        <v>0</v>
      </c>
      <c r="AX18" s="48"/>
      <c r="AY18" s="14">
        <f>SUM(AZ3:AZ16)</f>
        <v>147.7</v>
      </c>
      <c r="AZ18" s="48"/>
      <c r="BA18" s="14">
        <f>SUM(BB3:BB16)</f>
        <v>102.6</v>
      </c>
      <c r="BB18" s="48"/>
      <c r="BC18" s="14">
        <f>SUM(BD3:BD16)</f>
        <v>25</v>
      </c>
      <c r="BD18" s="48"/>
      <c r="BE18" s="14">
        <f>SUM(BF3:BF16)</f>
        <v>20</v>
      </c>
      <c r="BF18" s="48"/>
      <c r="BG18" s="14">
        <f>SUM(BH3:BH16)</f>
        <v>0</v>
      </c>
      <c r="BH18" s="48"/>
      <c r="BI18" s="14">
        <f>SUM(BJ3:BJ16)</f>
        <v>28.6</v>
      </c>
      <c r="BJ18" s="48"/>
      <c r="BK18" s="14">
        <f>SUM(BL3:BL16)</f>
        <v>0</v>
      </c>
      <c r="BL18" s="48"/>
      <c r="BM18" s="7">
        <f t="shared" si="0"/>
        <v>671.4</v>
      </c>
      <c r="BN18" s="111" t="s">
        <v>47</v>
      </c>
    </row>
    <row r="19" s="77" customFormat="1" ht="17" spans="1:75">
      <c r="A19" s="14" t="s">
        <v>48</v>
      </c>
      <c r="B19" s="85" t="s">
        <v>49</v>
      </c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10"/>
      <c r="Y19" s="10"/>
      <c r="Z19" s="85"/>
      <c r="AA19" s="85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68"/>
      <c r="BE19" s="68"/>
      <c r="BF19" s="68"/>
      <c r="BG19" s="68"/>
      <c r="BH19" s="68"/>
      <c r="BI19" s="68"/>
      <c r="BJ19" s="68"/>
      <c r="BK19" s="68"/>
      <c r="BL19" s="68"/>
      <c r="BM19" s="7">
        <f t="shared" si="0"/>
        <v>0</v>
      </c>
      <c r="BN19" s="85" t="s">
        <v>49</v>
      </c>
      <c r="BO19" s="51"/>
      <c r="BP19" s="51"/>
      <c r="BQ19" s="51"/>
      <c r="BR19" s="51"/>
      <c r="BS19" s="51"/>
      <c r="BT19" s="51"/>
      <c r="BU19" s="51"/>
      <c r="BV19" s="51"/>
      <c r="BW19" s="51"/>
    </row>
    <row r="20" s="51" customFormat="1" ht="17" spans="2:66">
      <c r="B20" s="85" t="s">
        <v>51</v>
      </c>
      <c r="C20" s="10"/>
      <c r="D20" s="10"/>
      <c r="E20" s="116" t="s">
        <v>84</v>
      </c>
      <c r="F20" s="117">
        <v>2200</v>
      </c>
      <c r="G20" s="68"/>
      <c r="H20" s="68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10"/>
      <c r="Y20" s="10"/>
      <c r="Z20" s="85"/>
      <c r="AA20" s="85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68"/>
      <c r="BE20" s="68"/>
      <c r="BF20" s="68"/>
      <c r="BG20" s="68"/>
      <c r="BH20" s="68"/>
      <c r="BI20" s="68"/>
      <c r="BJ20" s="68"/>
      <c r="BK20" s="68"/>
      <c r="BL20" s="68"/>
      <c r="BM20" s="7">
        <f t="shared" si="0"/>
        <v>2200</v>
      </c>
      <c r="BN20" s="85" t="s">
        <v>51</v>
      </c>
    </row>
    <row r="21" s="51" customFormat="1" spans="2:17">
      <c r="B21" s="154"/>
      <c r="C21" s="53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</row>
    <row r="22" s="51" customFormat="1" spans="2:66">
      <c r="B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AA22" s="154"/>
      <c r="AB22" s="154"/>
      <c r="BE22" s="129"/>
      <c r="BF22" s="129"/>
      <c r="BG22" s="129"/>
      <c r="BH22" s="129"/>
      <c r="BI22" s="129"/>
      <c r="BJ22" s="129"/>
      <c r="BK22" s="129"/>
      <c r="BL22" s="129"/>
      <c r="BM22" s="129"/>
      <c r="BN22" s="129"/>
    </row>
    <row r="23" s="51" customFormat="1" spans="2:65">
      <c r="B23" s="10" t="s">
        <v>52</v>
      </c>
      <c r="C23" s="10" t="s">
        <v>53</v>
      </c>
      <c r="D23" s="10" t="s">
        <v>54</v>
      </c>
      <c r="E23" s="10" t="s">
        <v>3</v>
      </c>
      <c r="F23" s="92"/>
      <c r="G23" s="92"/>
      <c r="H23" s="92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Z23" s="154"/>
      <c r="AA23" s="154"/>
      <c r="BD23" s="129"/>
      <c r="BE23" s="129"/>
      <c r="BF23" s="129"/>
      <c r="BG23" s="129"/>
      <c r="BH23" s="129"/>
      <c r="BI23" s="129"/>
      <c r="BJ23" s="129"/>
      <c r="BK23" s="129"/>
      <c r="BL23" s="129"/>
      <c r="BM23" s="129"/>
    </row>
    <row r="24" s="51" customFormat="1" spans="2:65">
      <c r="B24" s="2" t="s">
        <v>57</v>
      </c>
      <c r="C24" s="2">
        <v>43891</v>
      </c>
      <c r="D24" s="112">
        <v>43917</v>
      </c>
      <c r="E24" s="2"/>
      <c r="F24" s="92"/>
      <c r="G24" s="92"/>
      <c r="H24" s="92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Z24" s="154"/>
      <c r="AA24" s="154"/>
      <c r="BD24" s="129"/>
      <c r="BE24" s="129"/>
      <c r="BF24" s="129"/>
      <c r="BG24" s="129"/>
      <c r="BH24" s="129"/>
      <c r="BI24" s="129"/>
      <c r="BJ24" s="129"/>
      <c r="BK24" s="129"/>
      <c r="BL24" s="129"/>
      <c r="BM24" s="129"/>
    </row>
    <row r="25" s="51" customFormat="1" spans="2:65">
      <c r="B25" s="54" t="s">
        <v>60</v>
      </c>
      <c r="C25" s="54">
        <v>597.95</v>
      </c>
      <c r="D25" s="52">
        <v>1200</v>
      </c>
      <c r="E25" s="54">
        <f>SUM(C25:D25)</f>
        <v>1797.95</v>
      </c>
      <c r="F25" s="92"/>
      <c r="G25" s="92"/>
      <c r="H25" s="92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Z25" s="154"/>
      <c r="AA25" s="154"/>
      <c r="BD25" s="129"/>
      <c r="BE25" s="129"/>
      <c r="BF25" s="129"/>
      <c r="BG25" s="129"/>
      <c r="BH25" s="129"/>
      <c r="BI25" s="129"/>
      <c r="BJ25" s="129"/>
      <c r="BK25" s="129"/>
      <c r="BL25" s="129"/>
      <c r="BM25" s="129"/>
    </row>
    <row r="26" s="51" customFormat="1" spans="2:27">
      <c r="B26" s="10" t="s">
        <v>61</v>
      </c>
      <c r="C26" s="10">
        <f>E25-BM18</f>
        <v>1126.55</v>
      </c>
      <c r="D26" s="10"/>
      <c r="E26" s="10"/>
      <c r="F26" s="92"/>
      <c r="G26" s="92"/>
      <c r="H26" s="92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Z26" s="154"/>
      <c r="AA26" s="154"/>
    </row>
    <row r="27" s="51" customFormat="1" spans="2:28"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AA27" s="154"/>
      <c r="AB27" s="154"/>
    </row>
    <row r="28" s="51" customFormat="1" spans="2:28">
      <c r="B28"/>
      <c r="C28"/>
      <c r="D28"/>
      <c r="E28"/>
      <c r="F28"/>
      <c r="G28"/>
      <c r="H28"/>
      <c r="I28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AA28" s="154"/>
      <c r="AB28" s="154"/>
    </row>
    <row r="29" s="51" customFormat="1" spans="2:28">
      <c r="B29"/>
      <c r="C29"/>
      <c r="D29"/>
      <c r="E29"/>
      <c r="F29"/>
      <c r="G29"/>
      <c r="H29"/>
      <c r="I29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AA29" s="154"/>
      <c r="AB29" s="154"/>
    </row>
    <row r="30" s="51" customFormat="1" spans="2:28">
      <c r="B30"/>
      <c r="C30"/>
      <c r="D30"/>
      <c r="E30"/>
      <c r="F30"/>
      <c r="G30"/>
      <c r="H30"/>
      <c r="I30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AA30" s="154"/>
      <c r="AB30" s="154"/>
    </row>
    <row r="31" s="51" customFormat="1" spans="2:28">
      <c r="B31" s="53"/>
      <c r="C31" s="53"/>
      <c r="D31" s="53"/>
      <c r="AA31" s="154"/>
      <c r="AB31" s="154"/>
    </row>
    <row r="32" s="51" customFormat="1" spans="2:28">
      <c r="B32" s="53"/>
      <c r="C32" s="53"/>
      <c r="D32" s="53"/>
      <c r="AA32" s="154"/>
      <c r="AB32" s="154"/>
    </row>
    <row r="33" s="51" customFormat="1" spans="2:28">
      <c r="B33" s="53"/>
      <c r="C33" s="53"/>
      <c r="D33" s="53"/>
      <c r="AA33" s="154"/>
      <c r="AB33" s="154"/>
    </row>
    <row r="34" s="51" customFormat="1" spans="2:28">
      <c r="B34" s="53"/>
      <c r="D34" s="53"/>
      <c r="AA34" s="154"/>
      <c r="AB34" s="154"/>
    </row>
  </sheetData>
  <sheetProtection formatCells="0" insertHyperlinks="0" autoFilter="0"/>
  <mergeCells count="66"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N18"/>
    <mergeCell ref="AO18:AP18"/>
    <mergeCell ref="AQ18:AR18"/>
    <mergeCell ref="AS18:AT18"/>
    <mergeCell ref="AU18:AV18"/>
    <mergeCell ref="AW18:AX18"/>
    <mergeCell ref="AY18:AZ18"/>
    <mergeCell ref="BA18:BB18"/>
    <mergeCell ref="BC18:BD18"/>
    <mergeCell ref="BE18:BF18"/>
    <mergeCell ref="BG18:BH18"/>
    <mergeCell ref="BI18:BJ18"/>
    <mergeCell ref="BK18:BL18"/>
    <mergeCell ref="C26:E26"/>
    <mergeCell ref="A3:A6"/>
    <mergeCell ref="A7:A12"/>
    <mergeCell ref="BM3:BM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2:EL33"/>
  <sheetViews>
    <sheetView zoomScale="81" zoomScaleNormal="81" topLeftCell="AT1" workbookViewId="0">
      <selection activeCell="BL9" sqref="BL9"/>
    </sheetView>
  </sheetViews>
  <sheetFormatPr defaultColWidth="9.81730769230769" defaultRowHeight="16.8"/>
  <cols>
    <col min="1" max="1" width="6" style="51" customWidth="1"/>
    <col min="2" max="2" width="20" style="51" customWidth="1"/>
    <col min="3" max="3" width="7.36538461538461" style="51" customWidth="1"/>
    <col min="4" max="4" width="10.3076923076923" style="51" customWidth="1"/>
    <col min="5" max="5" width="10.9230769230769" style="51" customWidth="1"/>
    <col min="6" max="6" width="8.69230769230769" style="51" customWidth="1"/>
    <col min="7" max="7" width="15.1538461538462" style="51" customWidth="1"/>
    <col min="8" max="9" width="7.625" style="51" customWidth="1"/>
    <col min="10" max="10" width="6.69230769230769" style="51" customWidth="1"/>
    <col min="11" max="18" width="7.625" style="51" customWidth="1"/>
    <col min="19" max="19" width="8.15384615384615" style="51" customWidth="1"/>
    <col min="20" max="20" width="6.69230769230769" style="51" customWidth="1"/>
    <col min="21" max="21" width="10.3076923076923" style="51" customWidth="1"/>
    <col min="22" max="22" width="7.69230769230769" style="51" customWidth="1"/>
    <col min="23" max="23" width="8.625" style="51" customWidth="1"/>
    <col min="24" max="24" width="7.625" style="51" customWidth="1"/>
    <col min="25" max="25" width="10.3076923076923" style="51" customWidth="1"/>
    <col min="26" max="26" width="6.69230769230769" style="51" customWidth="1"/>
    <col min="27" max="28" width="7.625" style="154" customWidth="1"/>
    <col min="29" max="35" width="7.625" style="51" customWidth="1"/>
    <col min="36" max="36" width="5.69230769230769" style="51" customWidth="1"/>
    <col min="37" max="37" width="6.625" style="51" customWidth="1"/>
    <col min="38" max="38" width="7.625" style="51" customWidth="1"/>
    <col min="39" max="39" width="6" style="51" customWidth="1"/>
    <col min="40" max="40" width="6.69230769230769" style="51" customWidth="1"/>
    <col min="41" max="41" width="18.6153846153846" style="51" customWidth="1"/>
    <col min="42" max="42" width="6.69230769230769" style="51" customWidth="1"/>
    <col min="43" max="48" width="7.625" style="51" customWidth="1"/>
    <col min="49" max="49" width="23.6153846153846" style="51" customWidth="1"/>
    <col min="50" max="50" width="6.69230769230769" style="51" customWidth="1"/>
    <col min="51" max="54" width="7.625" style="51" customWidth="1"/>
    <col min="55" max="55" width="8.15384615384615" style="51" customWidth="1"/>
    <col min="56" max="56" width="5.69230769230769" style="51" customWidth="1"/>
    <col min="57" max="57" width="10.3076923076923" style="51" customWidth="1"/>
    <col min="58" max="58" width="7.69230769230769" style="51" customWidth="1"/>
    <col min="59" max="59" width="8.625" style="51" customWidth="1"/>
    <col min="60" max="60" width="7.625" style="51" customWidth="1"/>
    <col min="61" max="61" width="10.3076923076923" style="51" customWidth="1"/>
    <col min="62" max="62" width="6.69230769230769" style="51" customWidth="1"/>
    <col min="63" max="63" width="7.15384615384615" style="51" customWidth="1"/>
    <col min="64" max="64" width="10.3076923076923" style="51" customWidth="1"/>
    <col min="65" max="65" width="8.625" style="51" customWidth="1"/>
    <col min="66" max="14070" width="8.875" style="51"/>
    <col min="14071" max="14206" width="8.875" style="141"/>
    <col min="14207" max="14207" width="8.875"/>
  </cols>
  <sheetData>
    <row r="2" s="153" customFormat="1" ht="17" spans="1:64">
      <c r="A2" s="1"/>
      <c r="B2" s="100" t="s">
        <v>1</v>
      </c>
      <c r="C2" s="155">
        <v>43922</v>
      </c>
      <c r="D2" s="156"/>
      <c r="E2" s="155">
        <v>43923</v>
      </c>
      <c r="F2" s="156"/>
      <c r="G2" s="155">
        <v>43924</v>
      </c>
      <c r="H2" s="156"/>
      <c r="I2" s="155">
        <v>43925</v>
      </c>
      <c r="J2" s="156"/>
      <c r="K2" s="155">
        <v>43926</v>
      </c>
      <c r="L2" s="156"/>
      <c r="M2" s="155">
        <v>43927</v>
      </c>
      <c r="N2" s="156"/>
      <c r="O2" s="155">
        <v>43928</v>
      </c>
      <c r="P2" s="156"/>
      <c r="Q2" s="155">
        <v>43929</v>
      </c>
      <c r="R2" s="156"/>
      <c r="S2" s="155">
        <v>43930</v>
      </c>
      <c r="T2" s="156"/>
      <c r="U2" s="155">
        <v>43931</v>
      </c>
      <c r="V2" s="156"/>
      <c r="W2" s="155">
        <v>43932</v>
      </c>
      <c r="X2" s="156"/>
      <c r="Y2" s="155">
        <v>43933</v>
      </c>
      <c r="Z2" s="156"/>
      <c r="AA2" s="155">
        <v>43934</v>
      </c>
      <c r="AB2" s="156"/>
      <c r="AC2" s="155">
        <v>43935</v>
      </c>
      <c r="AD2" s="156"/>
      <c r="AE2" s="155">
        <v>43936</v>
      </c>
      <c r="AF2" s="156"/>
      <c r="AG2" s="155">
        <v>43937</v>
      </c>
      <c r="AH2" s="156"/>
      <c r="AI2" s="155">
        <v>43938</v>
      </c>
      <c r="AJ2" s="156"/>
      <c r="AK2" s="155">
        <v>43939</v>
      </c>
      <c r="AL2" s="156"/>
      <c r="AM2" s="155">
        <v>43940</v>
      </c>
      <c r="AN2" s="156"/>
      <c r="AO2" s="155">
        <v>43941</v>
      </c>
      <c r="AP2" s="156"/>
      <c r="AQ2" s="155">
        <v>43942</v>
      </c>
      <c r="AR2" s="156"/>
      <c r="AS2" s="155">
        <v>43943</v>
      </c>
      <c r="AT2" s="156"/>
      <c r="AU2" s="155">
        <v>43944</v>
      </c>
      <c r="AV2" s="156"/>
      <c r="AW2" s="155">
        <v>43945</v>
      </c>
      <c r="AX2" s="156"/>
      <c r="AY2" s="155">
        <v>43946</v>
      </c>
      <c r="AZ2" s="156"/>
      <c r="BA2" s="155">
        <v>43947</v>
      </c>
      <c r="BB2" s="156"/>
      <c r="BC2" s="155">
        <v>43948</v>
      </c>
      <c r="BD2" s="156"/>
      <c r="BE2" s="155">
        <v>43949</v>
      </c>
      <c r="BF2" s="156"/>
      <c r="BG2" s="155">
        <v>43950</v>
      </c>
      <c r="BH2" s="156"/>
      <c r="BI2" s="155">
        <v>43951</v>
      </c>
      <c r="BJ2" s="156"/>
      <c r="BK2" s="166" t="s">
        <v>3</v>
      </c>
      <c r="BL2" s="100" t="s">
        <v>1</v>
      </c>
    </row>
    <row r="3" s="51" customFormat="1" spans="1:64">
      <c r="A3" s="8" t="s">
        <v>4</v>
      </c>
      <c r="B3" s="103" t="s">
        <v>5</v>
      </c>
      <c r="D3" s="63"/>
      <c r="E3" s="66"/>
      <c r="F3" s="67"/>
      <c r="H3" s="63"/>
      <c r="I3" s="9"/>
      <c r="J3" s="63"/>
      <c r="K3" s="9"/>
      <c r="L3" s="63"/>
      <c r="M3" s="9"/>
      <c r="N3" s="63"/>
      <c r="O3" s="9"/>
      <c r="P3" s="63"/>
      <c r="Q3" s="9"/>
      <c r="R3" s="63"/>
      <c r="S3" s="9"/>
      <c r="T3" s="63"/>
      <c r="U3" s="9"/>
      <c r="V3" s="63"/>
      <c r="W3" s="9"/>
      <c r="X3" s="63"/>
      <c r="Y3" s="9"/>
      <c r="Z3" s="63"/>
      <c r="AA3" s="9"/>
      <c r="AB3" s="63"/>
      <c r="AC3" s="9"/>
      <c r="AD3" s="63"/>
      <c r="AE3" s="9"/>
      <c r="AF3" s="63"/>
      <c r="AG3" s="9"/>
      <c r="AH3" s="63"/>
      <c r="AI3" s="9"/>
      <c r="AJ3" s="63"/>
      <c r="AK3" s="9"/>
      <c r="AL3" s="63"/>
      <c r="AM3" s="9"/>
      <c r="AN3" s="63"/>
      <c r="AO3" s="9"/>
      <c r="AP3" s="63"/>
      <c r="AQ3" s="9"/>
      <c r="AR3" s="63"/>
      <c r="AS3" s="9"/>
      <c r="AT3" s="63"/>
      <c r="AU3" s="9"/>
      <c r="AV3" s="63"/>
      <c r="AW3" s="9"/>
      <c r="AX3" s="63"/>
      <c r="AY3" s="9"/>
      <c r="AZ3" s="63"/>
      <c r="BA3" s="9"/>
      <c r="BB3" s="63"/>
      <c r="BC3" s="9"/>
      <c r="BD3" s="63"/>
      <c r="BE3" s="9"/>
      <c r="BF3" s="63"/>
      <c r="BG3" s="9"/>
      <c r="BH3" s="63"/>
      <c r="BI3" s="63"/>
      <c r="BJ3" s="63"/>
      <c r="BK3" s="7">
        <f>SUM(C3:BJ6)</f>
        <v>11.5</v>
      </c>
      <c r="BL3" s="103" t="s">
        <v>5</v>
      </c>
    </row>
    <row r="4" s="51" customFormat="1" spans="1:64">
      <c r="A4" s="9"/>
      <c r="B4" s="103" t="s">
        <v>6</v>
      </c>
      <c r="D4" s="63"/>
      <c r="F4" s="63"/>
      <c r="H4" s="63"/>
      <c r="I4" s="9"/>
      <c r="J4" s="63"/>
      <c r="K4" s="9"/>
      <c r="L4" s="63"/>
      <c r="M4" s="9"/>
      <c r="N4" s="63"/>
      <c r="O4" s="9"/>
      <c r="P4" s="63"/>
      <c r="Q4" s="9"/>
      <c r="R4" s="63"/>
      <c r="S4" s="9"/>
      <c r="T4" s="63"/>
      <c r="U4" s="9"/>
      <c r="V4" s="63"/>
      <c r="W4" s="9"/>
      <c r="X4" s="63"/>
      <c r="Y4" s="9"/>
      <c r="Z4" s="63"/>
      <c r="AA4" s="9"/>
      <c r="AB4" s="63"/>
      <c r="AC4" s="9"/>
      <c r="AD4" s="63"/>
      <c r="AE4" s="9"/>
      <c r="AF4" s="63"/>
      <c r="AG4" s="9"/>
      <c r="AH4" s="63"/>
      <c r="AI4" s="9"/>
      <c r="AJ4" s="63"/>
      <c r="AK4" s="9"/>
      <c r="AL4" s="63"/>
      <c r="AM4" s="9"/>
      <c r="AN4" s="63"/>
      <c r="AO4" s="9"/>
      <c r="AP4" s="63"/>
      <c r="AQ4" s="9"/>
      <c r="AR4" s="63"/>
      <c r="AS4" s="9"/>
      <c r="AT4" s="63"/>
      <c r="AU4" s="9"/>
      <c r="AV4" s="63"/>
      <c r="AW4" s="9"/>
      <c r="AX4" s="63"/>
      <c r="AY4" s="9"/>
      <c r="AZ4" s="63"/>
      <c r="BA4" s="9"/>
      <c r="BB4" s="63"/>
      <c r="BC4" s="9" t="s">
        <v>85</v>
      </c>
      <c r="BD4" s="63">
        <v>5</v>
      </c>
      <c r="BE4" s="9"/>
      <c r="BF4" s="63"/>
      <c r="BG4" s="9"/>
      <c r="BH4" s="63"/>
      <c r="BI4" s="63"/>
      <c r="BJ4" s="63"/>
      <c r="BK4" s="7"/>
      <c r="BL4" s="103" t="s">
        <v>6</v>
      </c>
    </row>
    <row r="5" s="51" customFormat="1" spans="1:64">
      <c r="A5" s="9"/>
      <c r="B5" s="103" t="s">
        <v>7</v>
      </c>
      <c r="E5" s="159"/>
      <c r="G5" s="9"/>
      <c r="H5" s="63"/>
      <c r="I5" s="9"/>
      <c r="J5" s="63"/>
      <c r="K5" s="9"/>
      <c r="L5" s="63"/>
      <c r="M5" s="9"/>
      <c r="N5" s="63"/>
      <c r="O5" s="9"/>
      <c r="P5" s="63"/>
      <c r="Q5" s="9"/>
      <c r="R5" s="63"/>
      <c r="S5" s="9"/>
      <c r="T5" s="63"/>
      <c r="U5" s="9"/>
      <c r="V5" s="63"/>
      <c r="W5" s="9"/>
      <c r="X5" s="63"/>
      <c r="Y5" s="9"/>
      <c r="Z5" s="63"/>
      <c r="AA5" s="9"/>
      <c r="AB5" s="63"/>
      <c r="AC5" s="9"/>
      <c r="AD5" s="63"/>
      <c r="AE5" s="9"/>
      <c r="AF5" s="63"/>
      <c r="AG5" s="9"/>
      <c r="AH5" s="63"/>
      <c r="AI5" s="9"/>
      <c r="AJ5" s="63"/>
      <c r="AK5" s="9"/>
      <c r="AL5" s="63"/>
      <c r="AM5" s="9"/>
      <c r="AN5" s="63"/>
      <c r="AO5" s="9"/>
      <c r="AP5" s="63"/>
      <c r="AQ5" s="9"/>
      <c r="AR5" s="63"/>
      <c r="AS5" s="9"/>
      <c r="AT5" s="63"/>
      <c r="AU5" s="9"/>
      <c r="AV5" s="63"/>
      <c r="AW5" s="9"/>
      <c r="AX5" s="63"/>
      <c r="AY5" s="9"/>
      <c r="AZ5" s="63"/>
      <c r="BA5" s="9"/>
      <c r="BB5" s="63"/>
      <c r="BC5" s="9"/>
      <c r="BD5" s="63"/>
      <c r="BE5" s="9"/>
      <c r="BF5" s="63"/>
      <c r="BG5" s="9"/>
      <c r="BH5" s="63"/>
      <c r="BI5" s="63"/>
      <c r="BJ5" s="63"/>
      <c r="BK5" s="7"/>
      <c r="BL5" s="103" t="s">
        <v>7</v>
      </c>
    </row>
    <row r="6" s="51" customFormat="1" spans="1:64">
      <c r="A6" s="4"/>
      <c r="B6" s="104" t="s">
        <v>8</v>
      </c>
      <c r="C6" s="64"/>
      <c r="D6" s="64"/>
      <c r="E6" s="160"/>
      <c r="F6" s="64"/>
      <c r="G6" s="4"/>
      <c r="H6" s="65"/>
      <c r="I6" s="4"/>
      <c r="J6" s="65"/>
      <c r="K6" s="4"/>
      <c r="L6" s="65"/>
      <c r="M6" s="4"/>
      <c r="N6" s="65"/>
      <c r="O6" s="4"/>
      <c r="P6" s="65"/>
      <c r="Q6" s="4"/>
      <c r="R6" s="65"/>
      <c r="S6" s="4"/>
      <c r="T6" s="65"/>
      <c r="U6" s="4"/>
      <c r="V6" s="65"/>
      <c r="W6" s="4"/>
      <c r="X6" s="65"/>
      <c r="Y6" s="4"/>
      <c r="Z6" s="65"/>
      <c r="AA6" s="4"/>
      <c r="AB6" s="65"/>
      <c r="AC6" s="4"/>
      <c r="AD6" s="65"/>
      <c r="AE6" s="4"/>
      <c r="AF6" s="65"/>
      <c r="AG6" s="4"/>
      <c r="AH6" s="65"/>
      <c r="AI6" s="4"/>
      <c r="AJ6" s="63">
        <v>6.5</v>
      </c>
      <c r="AK6" s="4"/>
      <c r="AL6" s="65"/>
      <c r="AM6" s="4"/>
      <c r="AN6" s="65"/>
      <c r="AO6" s="4"/>
      <c r="AP6" s="65"/>
      <c r="AQ6" s="4"/>
      <c r="AR6" s="65"/>
      <c r="AS6" s="4"/>
      <c r="AT6" s="65"/>
      <c r="AU6" s="4"/>
      <c r="AV6" s="65"/>
      <c r="AW6" s="4"/>
      <c r="AX6" s="65"/>
      <c r="AY6" s="4"/>
      <c r="AZ6" s="65"/>
      <c r="BA6" s="4"/>
      <c r="BB6" s="65"/>
      <c r="BC6" s="4"/>
      <c r="BD6" s="65"/>
      <c r="BE6" s="4"/>
      <c r="BF6" s="65"/>
      <c r="BG6" s="4"/>
      <c r="BH6" s="65"/>
      <c r="BI6" s="65"/>
      <c r="BJ6" s="65"/>
      <c r="BK6" s="7"/>
      <c r="BL6" s="104" t="s">
        <v>8</v>
      </c>
    </row>
    <row r="7" s="51" customFormat="1" spans="1:64">
      <c r="A7" s="8" t="s">
        <v>10</v>
      </c>
      <c r="B7" s="105" t="s">
        <v>11</v>
      </c>
      <c r="D7" s="63"/>
      <c r="E7" s="161"/>
      <c r="F7" s="66"/>
      <c r="G7" s="162"/>
      <c r="H7" s="163"/>
      <c r="I7" s="162"/>
      <c r="J7" s="163"/>
      <c r="K7" s="162"/>
      <c r="L7" s="163"/>
      <c r="M7" s="162"/>
      <c r="N7" s="163"/>
      <c r="O7" s="162"/>
      <c r="P7" s="163"/>
      <c r="Q7" s="162"/>
      <c r="R7" s="163"/>
      <c r="S7" s="162"/>
      <c r="T7" s="163"/>
      <c r="U7" s="162"/>
      <c r="V7" s="163"/>
      <c r="W7" s="162"/>
      <c r="X7" s="163"/>
      <c r="Y7" s="162"/>
      <c r="Z7" s="163"/>
      <c r="AA7" s="162"/>
      <c r="AB7" s="163"/>
      <c r="AC7" s="162"/>
      <c r="AD7" s="163"/>
      <c r="AE7" s="162"/>
      <c r="AF7" s="163"/>
      <c r="AG7" s="162"/>
      <c r="AH7" s="163"/>
      <c r="AI7" s="162"/>
      <c r="AJ7" s="163"/>
      <c r="AK7" s="162"/>
      <c r="AL7" s="163"/>
      <c r="AM7" s="162"/>
      <c r="AN7" s="163"/>
      <c r="AO7" s="162"/>
      <c r="AP7" s="163"/>
      <c r="AQ7" s="162"/>
      <c r="AR7" s="163"/>
      <c r="AS7" s="162"/>
      <c r="AT7" s="163"/>
      <c r="AU7" s="162"/>
      <c r="AV7" s="163"/>
      <c r="AW7" s="162"/>
      <c r="AX7" s="163"/>
      <c r="AY7" s="162"/>
      <c r="AZ7" s="163"/>
      <c r="BA7" s="162"/>
      <c r="BB7" s="163"/>
      <c r="BC7" s="162"/>
      <c r="BD7" s="163"/>
      <c r="BE7" s="162"/>
      <c r="BF7" s="163"/>
      <c r="BG7" s="162"/>
      <c r="BH7" s="163"/>
      <c r="BI7" s="161"/>
      <c r="BJ7" s="161"/>
      <c r="BK7" s="12">
        <f>SUM(C7:BJ7)</f>
        <v>0</v>
      </c>
      <c r="BL7" s="105" t="s">
        <v>11</v>
      </c>
    </row>
    <row r="8" s="51" customFormat="1" spans="1:64">
      <c r="A8" s="9"/>
      <c r="B8" s="105" t="s">
        <v>15</v>
      </c>
      <c r="D8" s="63"/>
      <c r="E8" s="154"/>
      <c r="G8" s="159"/>
      <c r="H8" s="164"/>
      <c r="I8" s="159"/>
      <c r="J8" s="164"/>
      <c r="K8" s="159"/>
      <c r="L8" s="164"/>
      <c r="M8" s="159"/>
      <c r="N8" s="164"/>
      <c r="O8" s="159"/>
      <c r="P8" s="164"/>
      <c r="Q8" s="159"/>
      <c r="R8" s="164"/>
      <c r="S8" s="159"/>
      <c r="T8" s="164"/>
      <c r="U8" s="159"/>
      <c r="V8" s="164"/>
      <c r="W8" s="159"/>
      <c r="X8" s="164"/>
      <c r="Y8" s="159"/>
      <c r="Z8" s="164"/>
      <c r="AA8" s="159"/>
      <c r="AB8" s="164"/>
      <c r="AC8" s="159"/>
      <c r="AD8" s="164"/>
      <c r="AE8" s="159"/>
      <c r="AF8" s="164"/>
      <c r="AG8" s="159"/>
      <c r="AH8" s="164"/>
      <c r="AI8" s="159"/>
      <c r="AJ8" s="164"/>
      <c r="AK8" s="159"/>
      <c r="AL8" s="164"/>
      <c r="AM8" s="159"/>
      <c r="AN8" s="164"/>
      <c r="AO8" s="159"/>
      <c r="AP8" s="164"/>
      <c r="AQ8" s="159"/>
      <c r="AR8" s="164"/>
      <c r="AS8" s="159"/>
      <c r="AT8" s="164"/>
      <c r="AU8" s="159"/>
      <c r="AV8" s="164"/>
      <c r="AW8" s="159"/>
      <c r="AX8" s="164"/>
      <c r="AY8" s="159"/>
      <c r="AZ8" s="164"/>
      <c r="BA8" s="159"/>
      <c r="BB8" s="164"/>
      <c r="BC8" s="159"/>
      <c r="BD8" s="164"/>
      <c r="BE8" s="9" t="s">
        <v>86</v>
      </c>
      <c r="BF8" s="63">
        <v>100</v>
      </c>
      <c r="BG8" s="159"/>
      <c r="BH8" s="164"/>
      <c r="BI8" s="154"/>
      <c r="BJ8" s="154"/>
      <c r="BK8" s="12">
        <f>SUM(C8:BJ8)</f>
        <v>100</v>
      </c>
      <c r="BL8" s="105" t="s">
        <v>15</v>
      </c>
    </row>
    <row r="9" s="51" customFormat="1" spans="1:64">
      <c r="A9" s="9"/>
      <c r="B9" s="106" t="s">
        <v>16</v>
      </c>
      <c r="D9" s="63"/>
      <c r="E9" s="154"/>
      <c r="G9" s="9"/>
      <c r="H9" s="63"/>
      <c r="I9" s="9"/>
      <c r="J9" s="63"/>
      <c r="K9" s="9"/>
      <c r="L9" s="63"/>
      <c r="M9" s="9"/>
      <c r="N9" s="63"/>
      <c r="O9" s="9"/>
      <c r="P9" s="63"/>
      <c r="Q9" s="9"/>
      <c r="R9" s="63"/>
      <c r="S9" s="9"/>
      <c r="T9" s="63"/>
      <c r="U9" s="9"/>
      <c r="V9" s="63"/>
      <c r="W9" s="9"/>
      <c r="X9" s="63"/>
      <c r="Y9" s="9" t="s">
        <v>87</v>
      </c>
      <c r="Z9" s="63">
        <v>13.98</v>
      </c>
      <c r="AA9" s="9"/>
      <c r="AB9" s="63"/>
      <c r="AC9" s="9"/>
      <c r="AD9" s="63"/>
      <c r="AE9" s="9"/>
      <c r="AF9" s="63"/>
      <c r="AG9" s="9"/>
      <c r="AH9" s="63"/>
      <c r="AI9" s="9"/>
      <c r="AJ9" s="63"/>
      <c r="AK9" s="9"/>
      <c r="AL9" s="63"/>
      <c r="AM9" s="9"/>
      <c r="AN9" s="63"/>
      <c r="AO9" s="9" t="s">
        <v>88</v>
      </c>
      <c r="AP9" s="63">
        <v>35</v>
      </c>
      <c r="AQ9" s="9"/>
      <c r="AR9" s="63"/>
      <c r="AS9" s="9"/>
      <c r="AT9" s="63"/>
      <c r="AU9" s="9"/>
      <c r="AV9" s="63"/>
      <c r="AW9" s="9"/>
      <c r="AX9" s="63"/>
      <c r="AY9" s="9"/>
      <c r="AZ9" s="63"/>
      <c r="BA9" s="9"/>
      <c r="BB9" s="63"/>
      <c r="BC9" s="9"/>
      <c r="BD9" s="63"/>
      <c r="BE9" s="9"/>
      <c r="BF9" s="63"/>
      <c r="BG9" s="9"/>
      <c r="BH9" s="63"/>
      <c r="BK9" s="12">
        <f t="shared" ref="BK9:BK20" si="0">SUM(C9:BJ9)</f>
        <v>48.98</v>
      </c>
      <c r="BL9" s="106" t="s">
        <v>16</v>
      </c>
    </row>
    <row r="10" s="51" customFormat="1" spans="1:64">
      <c r="A10" s="9"/>
      <c r="B10" s="107" t="s">
        <v>21</v>
      </c>
      <c r="D10" s="63"/>
      <c r="G10" s="9"/>
      <c r="H10" s="63"/>
      <c r="K10" s="9"/>
      <c r="L10" s="63"/>
      <c r="M10" s="9"/>
      <c r="N10" s="63"/>
      <c r="O10" s="9"/>
      <c r="P10" s="63"/>
      <c r="Q10" s="9"/>
      <c r="R10" s="63"/>
      <c r="S10" s="9"/>
      <c r="T10" s="63"/>
      <c r="U10" s="9"/>
      <c r="V10" s="63"/>
      <c r="W10" s="9"/>
      <c r="X10" s="63"/>
      <c r="Y10" s="9"/>
      <c r="Z10" s="63"/>
      <c r="AA10" s="9"/>
      <c r="AB10" s="63"/>
      <c r="AC10" s="9"/>
      <c r="AD10" s="63"/>
      <c r="AE10" s="9"/>
      <c r="AF10" s="63"/>
      <c r="AG10" s="9"/>
      <c r="AH10" s="63"/>
      <c r="AI10" s="9"/>
      <c r="AJ10" s="63"/>
      <c r="AK10" s="9"/>
      <c r="AL10" s="63"/>
      <c r="AM10" s="9"/>
      <c r="AN10" s="63"/>
      <c r="AO10" s="9" t="s">
        <v>89</v>
      </c>
      <c r="AP10" s="63">
        <f>19+6</f>
        <v>25</v>
      </c>
      <c r="AQ10" s="9"/>
      <c r="AR10" s="63"/>
      <c r="AS10" s="9"/>
      <c r="AT10" s="63"/>
      <c r="AU10" s="9"/>
      <c r="AV10" s="63"/>
      <c r="AW10" s="9" t="s">
        <v>90</v>
      </c>
      <c r="AX10" s="63">
        <f>4.8+58</f>
        <v>62.8</v>
      </c>
      <c r="AY10" s="9"/>
      <c r="AZ10" s="63"/>
      <c r="BA10" s="9"/>
      <c r="BB10" s="63"/>
      <c r="BC10" s="9"/>
      <c r="BD10" s="63"/>
      <c r="BE10" s="9"/>
      <c r="BF10" s="63"/>
      <c r="BG10" s="9"/>
      <c r="BH10" s="63"/>
      <c r="BK10" s="12">
        <f t="shared" si="0"/>
        <v>87.8</v>
      </c>
      <c r="BL10" s="107" t="s">
        <v>21</v>
      </c>
    </row>
    <row r="11" s="51" customFormat="1" spans="1:64">
      <c r="A11" s="9"/>
      <c r="B11" s="107" t="s">
        <v>26</v>
      </c>
      <c r="C11" s="154"/>
      <c r="E11" s="9"/>
      <c r="F11" s="63"/>
      <c r="G11" s="9"/>
      <c r="H11" s="63"/>
      <c r="I11" s="9"/>
      <c r="J11" s="63"/>
      <c r="K11" s="9"/>
      <c r="L11" s="63"/>
      <c r="M11" s="9"/>
      <c r="N11" s="63"/>
      <c r="O11" s="9"/>
      <c r="P11" s="63"/>
      <c r="Q11" s="9"/>
      <c r="R11" s="63"/>
      <c r="S11" s="9"/>
      <c r="T11" s="63"/>
      <c r="U11" s="9"/>
      <c r="V11" s="63"/>
      <c r="W11" s="9"/>
      <c r="X11" s="63"/>
      <c r="Y11" s="9"/>
      <c r="Z11" s="63"/>
      <c r="AA11" s="9"/>
      <c r="AB11" s="63"/>
      <c r="AC11" s="9"/>
      <c r="AD11" s="63"/>
      <c r="AE11" s="9"/>
      <c r="AF11" s="63"/>
      <c r="AG11" s="9"/>
      <c r="AH11" s="63"/>
      <c r="AI11" s="9"/>
      <c r="AJ11" s="63"/>
      <c r="AK11" s="9"/>
      <c r="AL11" s="63"/>
      <c r="AM11" s="9"/>
      <c r="AN11" s="63"/>
      <c r="AO11" s="9"/>
      <c r="AP11" s="63"/>
      <c r="AQ11" s="9"/>
      <c r="AR11" s="63"/>
      <c r="AS11" s="9"/>
      <c r="AT11" s="63"/>
      <c r="AU11" s="9"/>
      <c r="AV11" s="63"/>
      <c r="AW11" s="9"/>
      <c r="AX11" s="63"/>
      <c r="AY11" s="9"/>
      <c r="AZ11" s="63"/>
      <c r="BA11" s="9"/>
      <c r="BB11" s="63"/>
      <c r="BC11" s="9"/>
      <c r="BD11" s="63"/>
      <c r="BE11" s="9"/>
      <c r="BF11" s="63"/>
      <c r="BG11" s="9"/>
      <c r="BH11" s="63"/>
      <c r="BI11" s="51" t="s">
        <v>91</v>
      </c>
      <c r="BJ11" s="51">
        <f>8+7+7+9</f>
        <v>31</v>
      </c>
      <c r="BK11" s="12">
        <f t="shared" si="0"/>
        <v>31</v>
      </c>
      <c r="BL11" s="107" t="s">
        <v>26</v>
      </c>
    </row>
    <row r="12" s="51" customFormat="1" spans="1:64">
      <c r="A12" s="9"/>
      <c r="B12" s="107" t="s">
        <v>29</v>
      </c>
      <c r="C12" s="154"/>
      <c r="E12" s="9"/>
      <c r="F12" s="63"/>
      <c r="G12" s="9"/>
      <c r="H12" s="63"/>
      <c r="I12" s="9"/>
      <c r="J12" s="63"/>
      <c r="K12" s="9"/>
      <c r="L12" s="63"/>
      <c r="M12" s="9"/>
      <c r="N12" s="63"/>
      <c r="O12" s="9"/>
      <c r="P12" s="63"/>
      <c r="Q12" s="9"/>
      <c r="R12" s="63"/>
      <c r="S12" s="9"/>
      <c r="T12" s="63"/>
      <c r="U12" s="9"/>
      <c r="V12" s="63"/>
      <c r="W12" s="9"/>
      <c r="X12" s="63"/>
      <c r="Y12" s="9"/>
      <c r="Z12" s="63"/>
      <c r="AA12" s="9"/>
      <c r="AB12" s="63"/>
      <c r="AC12" s="9"/>
      <c r="AD12" s="63"/>
      <c r="AE12" s="9"/>
      <c r="AF12" s="63"/>
      <c r="AG12" s="9"/>
      <c r="AH12" s="63"/>
      <c r="AI12" s="9"/>
      <c r="AJ12" s="63"/>
      <c r="AK12" s="9"/>
      <c r="AL12" s="63"/>
      <c r="AM12" s="9"/>
      <c r="AN12" s="63"/>
      <c r="AO12" s="9"/>
      <c r="AP12" s="63"/>
      <c r="AQ12" s="9"/>
      <c r="AR12" s="63"/>
      <c r="AS12" s="9"/>
      <c r="AT12" s="63"/>
      <c r="AU12" s="9"/>
      <c r="AV12" s="63"/>
      <c r="AW12" s="9"/>
      <c r="AX12" s="63"/>
      <c r="AY12" s="9"/>
      <c r="AZ12" s="63"/>
      <c r="BA12" s="9"/>
      <c r="BB12" s="63"/>
      <c r="BC12" s="9"/>
      <c r="BD12" s="63"/>
      <c r="BE12" s="9"/>
      <c r="BF12" s="63"/>
      <c r="BG12" s="9"/>
      <c r="BH12" s="63"/>
      <c r="BK12" s="12">
        <f t="shared" si="0"/>
        <v>0</v>
      </c>
      <c r="BL12" s="107" t="s">
        <v>29</v>
      </c>
    </row>
    <row r="13" s="77" customFormat="1" spans="1:142">
      <c r="A13" s="14" t="s">
        <v>30</v>
      </c>
      <c r="B13" s="108" t="s">
        <v>31</v>
      </c>
      <c r="C13" s="157"/>
      <c r="E13" s="16"/>
      <c r="F13" s="48"/>
      <c r="G13" s="48"/>
      <c r="H13" s="10"/>
      <c r="I13" s="10"/>
      <c r="J13" s="10"/>
      <c r="K13" s="10"/>
      <c r="L13" s="14"/>
      <c r="M13" s="10"/>
      <c r="N13" s="14"/>
      <c r="O13" s="10"/>
      <c r="P13" s="14"/>
      <c r="Q13" s="10"/>
      <c r="R13" s="14"/>
      <c r="S13" s="10"/>
      <c r="T13" s="14"/>
      <c r="U13" s="10"/>
      <c r="V13" s="14"/>
      <c r="W13" s="10"/>
      <c r="X13" s="14"/>
      <c r="Y13" s="10" t="s">
        <v>92</v>
      </c>
      <c r="Z13" s="14">
        <v>37</v>
      </c>
      <c r="AA13" s="10"/>
      <c r="AB13" s="14"/>
      <c r="AC13" s="10"/>
      <c r="AD13" s="14"/>
      <c r="AE13" s="10"/>
      <c r="AF13" s="14"/>
      <c r="AG13" s="10"/>
      <c r="AH13" s="10"/>
      <c r="AK13" s="10"/>
      <c r="AL13" s="14"/>
      <c r="AM13" s="10" t="s">
        <v>34</v>
      </c>
      <c r="AN13" s="14">
        <v>4</v>
      </c>
      <c r="AO13" s="10"/>
      <c r="AP13" s="14">
        <v>15.98</v>
      </c>
      <c r="AQ13" s="10"/>
      <c r="AR13" s="14"/>
      <c r="AS13" s="10"/>
      <c r="AT13" s="14"/>
      <c r="AU13" s="10"/>
      <c r="AV13" s="14"/>
      <c r="AW13" s="10"/>
      <c r="AX13" s="14"/>
      <c r="AY13" s="10"/>
      <c r="AZ13" s="14"/>
      <c r="BA13" s="10"/>
      <c r="BB13" s="14"/>
      <c r="BC13" s="10"/>
      <c r="BD13" s="14"/>
      <c r="BE13" s="10"/>
      <c r="BF13" s="14"/>
      <c r="BG13" s="10"/>
      <c r="BH13" s="14"/>
      <c r="BI13" s="14"/>
      <c r="BJ13" s="14"/>
      <c r="BK13" s="7">
        <f t="shared" si="0"/>
        <v>56.98</v>
      </c>
      <c r="BL13" s="108" t="s">
        <v>31</v>
      </c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  <c r="CF13" s="125"/>
      <c r="CG13" s="125"/>
      <c r="CH13" s="125"/>
      <c r="CI13" s="125"/>
      <c r="CJ13" s="125"/>
      <c r="CK13" s="125"/>
      <c r="CL13" s="125"/>
      <c r="CM13" s="125"/>
      <c r="CN13" s="125"/>
      <c r="CO13" s="125"/>
      <c r="CP13" s="125"/>
      <c r="CQ13" s="125"/>
      <c r="CR13" s="125"/>
      <c r="CS13" s="125"/>
      <c r="CT13" s="125"/>
      <c r="CU13" s="125"/>
      <c r="CV13" s="125"/>
      <c r="CW13" s="125"/>
      <c r="CX13" s="125"/>
      <c r="CY13" s="125"/>
      <c r="CZ13" s="125"/>
      <c r="DA13" s="125"/>
      <c r="DB13" s="125"/>
      <c r="DC13" s="125"/>
      <c r="DD13" s="125"/>
      <c r="DE13" s="125"/>
      <c r="DF13" s="125"/>
      <c r="DG13" s="125"/>
      <c r="DH13" s="125"/>
      <c r="DI13" s="125"/>
      <c r="DJ13" s="125"/>
      <c r="DK13" s="125"/>
      <c r="DL13" s="125"/>
      <c r="DM13" s="125"/>
      <c r="DN13" s="125"/>
      <c r="DO13" s="125"/>
      <c r="DP13" s="125"/>
      <c r="DQ13" s="125"/>
      <c r="DR13" s="125"/>
      <c r="DS13" s="125"/>
      <c r="DT13" s="125"/>
      <c r="DU13" s="125"/>
      <c r="DV13" s="125"/>
      <c r="DW13" s="125"/>
      <c r="DX13" s="125"/>
      <c r="DY13" s="125"/>
      <c r="DZ13" s="125"/>
      <c r="EA13" s="125"/>
      <c r="EB13" s="125"/>
      <c r="EC13" s="125"/>
      <c r="ED13" s="125"/>
      <c r="EE13" s="125"/>
      <c r="EF13" s="125"/>
      <c r="EG13" s="125"/>
      <c r="EH13" s="125"/>
      <c r="EI13" s="125"/>
      <c r="EJ13" s="125"/>
      <c r="EK13" s="125"/>
      <c r="EL13" s="125"/>
    </row>
    <row r="14" s="77" customFormat="1" spans="1:142">
      <c r="A14" s="14" t="s">
        <v>35</v>
      </c>
      <c r="B14" s="47" t="s">
        <v>36</v>
      </c>
      <c r="C14" s="157"/>
      <c r="E14" s="16"/>
      <c r="F14" s="48"/>
      <c r="G14" s="48"/>
      <c r="H14" s="10"/>
      <c r="K14" s="10"/>
      <c r="L14" s="14"/>
      <c r="M14" s="10"/>
      <c r="N14" s="14"/>
      <c r="O14" s="10"/>
      <c r="P14" s="14"/>
      <c r="Q14" s="10"/>
      <c r="R14" s="14"/>
      <c r="S14" s="10"/>
      <c r="T14" s="14"/>
      <c r="U14" s="10"/>
      <c r="V14" s="14"/>
      <c r="W14" s="10"/>
      <c r="X14" s="14"/>
      <c r="Y14" s="10"/>
      <c r="Z14" s="14"/>
      <c r="AA14" s="10"/>
      <c r="AB14" s="14"/>
      <c r="AC14" s="10"/>
      <c r="AD14" s="14"/>
      <c r="AE14" s="10"/>
      <c r="AF14" s="14"/>
      <c r="AG14" s="10"/>
      <c r="AH14" s="14"/>
      <c r="AK14" s="10"/>
      <c r="AL14" s="14"/>
      <c r="AM14" s="10"/>
      <c r="AN14" s="14"/>
      <c r="AO14" s="10"/>
      <c r="AP14" s="14"/>
      <c r="AQ14" s="10"/>
      <c r="AR14" s="14"/>
      <c r="AS14" s="10"/>
      <c r="AT14" s="14"/>
      <c r="AU14" s="10"/>
      <c r="AV14" s="14"/>
      <c r="AW14" s="10"/>
      <c r="AX14" s="14"/>
      <c r="AY14" s="10"/>
      <c r="AZ14" s="14"/>
      <c r="BA14" s="10"/>
      <c r="BB14" s="14"/>
      <c r="BC14" s="10"/>
      <c r="BD14" s="14"/>
      <c r="BE14" s="10" t="s">
        <v>93</v>
      </c>
      <c r="BF14" s="14">
        <v>22.44</v>
      </c>
      <c r="BG14" s="10"/>
      <c r="BH14" s="14"/>
      <c r="BI14" s="14"/>
      <c r="BJ14" s="14"/>
      <c r="BK14" s="7">
        <f t="shared" si="0"/>
        <v>22.44</v>
      </c>
      <c r="BL14" s="47" t="s">
        <v>36</v>
      </c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  <c r="CF14" s="125"/>
      <c r="CG14" s="125"/>
      <c r="CH14" s="125"/>
      <c r="CI14" s="125"/>
      <c r="CJ14" s="125"/>
      <c r="CK14" s="125"/>
      <c r="CL14" s="125"/>
      <c r="CM14" s="125"/>
      <c r="CN14" s="125"/>
      <c r="CO14" s="125"/>
      <c r="CP14" s="125"/>
      <c r="CQ14" s="125"/>
      <c r="CR14" s="125"/>
      <c r="CS14" s="125"/>
      <c r="CT14" s="125"/>
      <c r="CU14" s="125"/>
      <c r="CV14" s="125"/>
      <c r="CW14" s="125"/>
      <c r="CX14" s="125"/>
      <c r="CY14" s="125"/>
      <c r="CZ14" s="125"/>
      <c r="DA14" s="125"/>
      <c r="DB14" s="125"/>
      <c r="DC14" s="125"/>
      <c r="DD14" s="125"/>
      <c r="DE14" s="125"/>
      <c r="DF14" s="125"/>
      <c r="DG14" s="125"/>
      <c r="DH14" s="125"/>
      <c r="DI14" s="125"/>
      <c r="DJ14" s="125"/>
      <c r="DK14" s="125"/>
      <c r="DL14" s="125"/>
      <c r="DM14" s="125"/>
      <c r="DN14" s="125"/>
      <c r="DO14" s="125"/>
      <c r="DP14" s="125"/>
      <c r="DQ14" s="125"/>
      <c r="DR14" s="125"/>
      <c r="DS14" s="125"/>
      <c r="DT14" s="125"/>
      <c r="DU14" s="125"/>
      <c r="DV14" s="125"/>
      <c r="DW14" s="125"/>
      <c r="DX14" s="125"/>
      <c r="DY14" s="125"/>
      <c r="DZ14" s="125"/>
      <c r="EA14" s="125"/>
      <c r="EB14" s="125"/>
      <c r="EC14" s="125"/>
      <c r="ED14" s="125"/>
      <c r="EE14" s="125"/>
      <c r="EF14" s="125"/>
      <c r="EG14" s="125"/>
      <c r="EH14" s="125"/>
      <c r="EI14" s="125"/>
      <c r="EJ14" s="125"/>
      <c r="EK14" s="125"/>
      <c r="EL14" s="125"/>
    </row>
    <row r="15" s="77" customFormat="1" spans="1:142">
      <c r="A15" s="14" t="s">
        <v>38</v>
      </c>
      <c r="B15" s="47" t="s">
        <v>39</v>
      </c>
      <c r="C15" s="10"/>
      <c r="D15" s="10"/>
      <c r="E15" s="10"/>
      <c r="F15" s="10"/>
      <c r="G15" s="10"/>
      <c r="H15" s="10"/>
      <c r="I15" s="10"/>
      <c r="J15" s="10">
        <v>31.59</v>
      </c>
      <c r="K15" s="10"/>
      <c r="L15" s="14"/>
      <c r="M15" s="10"/>
      <c r="N15" s="14"/>
      <c r="O15" s="10"/>
      <c r="P15" s="14"/>
      <c r="Q15" s="10"/>
      <c r="R15" s="14"/>
      <c r="S15" s="10" t="s">
        <v>94</v>
      </c>
      <c r="T15" s="14">
        <v>31.73</v>
      </c>
      <c r="U15" s="10" t="s">
        <v>95</v>
      </c>
      <c r="V15" s="14">
        <v>113.25</v>
      </c>
      <c r="W15" s="10"/>
      <c r="X15" s="14"/>
      <c r="Y15" s="10" t="s">
        <v>96</v>
      </c>
      <c r="Z15" s="14">
        <v>1.26</v>
      </c>
      <c r="AA15" s="10"/>
      <c r="AB15" s="14"/>
      <c r="AC15" s="10"/>
      <c r="AD15" s="14"/>
      <c r="AE15" s="10"/>
      <c r="AF15" s="14"/>
      <c r="AG15" s="10"/>
      <c r="AH15" s="14"/>
      <c r="AI15" s="10"/>
      <c r="AJ15" s="14"/>
      <c r="AK15" s="10"/>
      <c r="AL15" s="14"/>
      <c r="AM15" s="10"/>
      <c r="AN15" s="14">
        <f>8.75+33.5+9.64</f>
        <v>51.89</v>
      </c>
      <c r="AO15" s="10"/>
      <c r="AP15" s="14">
        <v>5</v>
      </c>
      <c r="AQ15" s="10"/>
      <c r="AR15" s="14"/>
      <c r="AS15" s="10"/>
      <c r="AT15" s="14"/>
      <c r="AU15" s="10"/>
      <c r="AV15" s="14"/>
      <c r="AW15" s="10"/>
      <c r="AX15" s="14"/>
      <c r="AY15" s="10"/>
      <c r="AZ15" s="14"/>
      <c r="BA15" s="10"/>
      <c r="BB15" s="14"/>
      <c r="BC15" s="10"/>
      <c r="BD15" s="14"/>
      <c r="BE15" s="10"/>
      <c r="BF15" s="14"/>
      <c r="BG15" s="10"/>
      <c r="BH15" s="14"/>
      <c r="BI15" s="14"/>
      <c r="BJ15" s="14"/>
      <c r="BK15" s="7">
        <f t="shared" si="0"/>
        <v>234.72</v>
      </c>
      <c r="BL15" s="47" t="s">
        <v>39</v>
      </c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  <c r="CF15" s="125"/>
      <c r="CG15" s="125"/>
      <c r="CH15" s="125"/>
      <c r="CI15" s="125"/>
      <c r="CJ15" s="125"/>
      <c r="CK15" s="125"/>
      <c r="CL15" s="125"/>
      <c r="CM15" s="125"/>
      <c r="CN15" s="125"/>
      <c r="CO15" s="125"/>
      <c r="CP15" s="125"/>
      <c r="CQ15" s="125"/>
      <c r="CR15" s="125"/>
      <c r="CS15" s="125"/>
      <c r="CT15" s="125"/>
      <c r="CU15" s="125"/>
      <c r="CV15" s="125"/>
      <c r="CW15" s="125"/>
      <c r="CX15" s="125"/>
      <c r="CY15" s="125"/>
      <c r="CZ15" s="125"/>
      <c r="DA15" s="125"/>
      <c r="DB15" s="125"/>
      <c r="DC15" s="125"/>
      <c r="DD15" s="125"/>
      <c r="DE15" s="125"/>
      <c r="DF15" s="125"/>
      <c r="DG15" s="125"/>
      <c r="DH15" s="125"/>
      <c r="DI15" s="125"/>
      <c r="DJ15" s="125"/>
      <c r="DK15" s="125"/>
      <c r="DL15" s="125"/>
      <c r="DM15" s="125"/>
      <c r="DN15" s="125"/>
      <c r="DO15" s="125"/>
      <c r="DP15" s="125"/>
      <c r="DQ15" s="125"/>
      <c r="DR15" s="125"/>
      <c r="DS15" s="125"/>
      <c r="DT15" s="125"/>
      <c r="DU15" s="125"/>
      <c r="DV15" s="125"/>
      <c r="DW15" s="125"/>
      <c r="DX15" s="125"/>
      <c r="DY15" s="125"/>
      <c r="DZ15" s="125"/>
      <c r="EA15" s="125"/>
      <c r="EB15" s="125"/>
      <c r="EC15" s="125"/>
      <c r="ED15" s="125"/>
      <c r="EE15" s="125"/>
      <c r="EF15" s="125"/>
      <c r="EG15" s="125"/>
      <c r="EH15" s="125"/>
      <c r="EI15" s="125"/>
      <c r="EJ15" s="125"/>
      <c r="EK15" s="125"/>
      <c r="EL15" s="125"/>
    </row>
    <row r="16" s="77" customFormat="1" spans="1:142">
      <c r="A16" s="14" t="s">
        <v>42</v>
      </c>
      <c r="B16" s="108" t="s">
        <v>43</v>
      </c>
      <c r="C16" s="10"/>
      <c r="D16" s="10"/>
      <c r="E16" s="10"/>
      <c r="F16" s="10"/>
      <c r="G16" s="10"/>
      <c r="H16" s="10"/>
      <c r="I16" s="10"/>
      <c r="J16" s="10"/>
      <c r="K16" s="10"/>
      <c r="L16" s="14"/>
      <c r="M16" s="10"/>
      <c r="N16" s="14"/>
      <c r="O16" s="10"/>
      <c r="P16" s="14"/>
      <c r="Q16" s="10"/>
      <c r="R16" s="14"/>
      <c r="S16" s="10"/>
      <c r="T16" s="14"/>
      <c r="U16" s="10"/>
      <c r="V16" s="14"/>
      <c r="W16" s="10"/>
      <c r="X16" s="14"/>
      <c r="Y16" s="10"/>
      <c r="Z16" s="14"/>
      <c r="AA16" s="10"/>
      <c r="AB16" s="14"/>
      <c r="AC16" s="10"/>
      <c r="AD16" s="14"/>
      <c r="AE16" s="10"/>
      <c r="AF16" s="14"/>
      <c r="AG16" s="10"/>
      <c r="AH16" s="14"/>
      <c r="AI16" s="10"/>
      <c r="AJ16" s="14"/>
      <c r="AK16" s="10"/>
      <c r="AL16" s="14"/>
      <c r="AM16" s="10"/>
      <c r="AN16" s="14"/>
      <c r="AO16" s="10"/>
      <c r="AP16" s="14"/>
      <c r="AQ16" s="10"/>
      <c r="AR16" s="14"/>
      <c r="AS16" s="10"/>
      <c r="AT16" s="14"/>
      <c r="AU16" s="10"/>
      <c r="AV16" s="14"/>
      <c r="AW16" s="10"/>
      <c r="AX16" s="14"/>
      <c r="AY16" s="10"/>
      <c r="AZ16" s="14"/>
      <c r="BA16" s="10"/>
      <c r="BB16" s="14"/>
      <c r="BC16" s="10"/>
      <c r="BD16" s="14"/>
      <c r="BE16" s="10"/>
      <c r="BF16" s="14"/>
      <c r="BG16" s="10"/>
      <c r="BH16" s="14"/>
      <c r="BI16" s="14"/>
      <c r="BJ16" s="14"/>
      <c r="BK16" s="7">
        <f t="shared" si="0"/>
        <v>0</v>
      </c>
      <c r="BL16" s="108" t="s">
        <v>43</v>
      </c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  <c r="CF16" s="125"/>
      <c r="CG16" s="125"/>
      <c r="CH16" s="125"/>
      <c r="CI16" s="125"/>
      <c r="CJ16" s="125"/>
      <c r="CK16" s="125"/>
      <c r="CL16" s="125"/>
      <c r="CM16" s="125"/>
      <c r="CN16" s="125"/>
      <c r="CO16" s="125"/>
      <c r="CP16" s="125"/>
      <c r="CQ16" s="125"/>
      <c r="CR16" s="125"/>
      <c r="CS16" s="125"/>
      <c r="CT16" s="125"/>
      <c r="CU16" s="125"/>
      <c r="CV16" s="125"/>
      <c r="CW16" s="125"/>
      <c r="CX16" s="125"/>
      <c r="CY16" s="125"/>
      <c r="CZ16" s="125"/>
      <c r="DA16" s="125"/>
      <c r="DB16" s="125"/>
      <c r="DC16" s="125"/>
      <c r="DD16" s="125"/>
      <c r="DE16" s="125"/>
      <c r="DF16" s="125"/>
      <c r="DG16" s="125"/>
      <c r="DH16" s="125"/>
      <c r="DI16" s="125"/>
      <c r="DJ16" s="125"/>
      <c r="DK16" s="125"/>
      <c r="DL16" s="125"/>
      <c r="DM16" s="125"/>
      <c r="DN16" s="125"/>
      <c r="DO16" s="125"/>
      <c r="DP16" s="125"/>
      <c r="DQ16" s="125"/>
      <c r="DR16" s="125"/>
      <c r="DS16" s="125"/>
      <c r="DT16" s="125"/>
      <c r="DU16" s="125"/>
      <c r="DV16" s="125"/>
      <c r="DW16" s="125"/>
      <c r="DX16" s="125"/>
      <c r="DY16" s="125"/>
      <c r="DZ16" s="125"/>
      <c r="EA16" s="125"/>
      <c r="EB16" s="125"/>
      <c r="EC16" s="125"/>
      <c r="ED16" s="125"/>
      <c r="EE16" s="125"/>
      <c r="EF16" s="125"/>
      <c r="EG16" s="125"/>
      <c r="EH16" s="125"/>
      <c r="EI16" s="125"/>
      <c r="EJ16" s="125"/>
      <c r="EK16" s="125"/>
      <c r="EL16" s="125"/>
    </row>
    <row r="17" s="77" customFormat="1" spans="1:142">
      <c r="A17" s="14" t="s">
        <v>45</v>
      </c>
      <c r="B17" s="10" t="s">
        <v>46</v>
      </c>
      <c r="C17" s="48"/>
      <c r="D17" s="10"/>
      <c r="E17" s="48"/>
      <c r="F17" s="10"/>
      <c r="G17" s="48"/>
      <c r="H17" s="10"/>
      <c r="I17" s="10"/>
      <c r="J17" s="10"/>
      <c r="K17" s="10"/>
      <c r="L17" s="14"/>
      <c r="M17" s="10"/>
      <c r="N17" s="14"/>
      <c r="O17" s="10"/>
      <c r="P17" s="14"/>
      <c r="Q17" s="10"/>
      <c r="R17" s="14"/>
      <c r="S17" s="10"/>
      <c r="T17" s="14"/>
      <c r="U17" s="10"/>
      <c r="V17" s="14"/>
      <c r="W17" s="10"/>
      <c r="X17" s="14"/>
      <c r="Y17" s="10"/>
      <c r="Z17" s="14"/>
      <c r="AA17" s="10"/>
      <c r="AB17" s="14"/>
      <c r="AC17" s="10"/>
      <c r="AD17" s="14"/>
      <c r="AE17" s="10"/>
      <c r="AF17" s="14"/>
      <c r="AG17" s="10"/>
      <c r="AH17" s="14"/>
      <c r="AI17" s="10"/>
      <c r="AJ17" s="14"/>
      <c r="AK17" s="10"/>
      <c r="AL17" s="14"/>
      <c r="AM17" s="10"/>
      <c r="AN17" s="14"/>
      <c r="AO17" s="10"/>
      <c r="AP17" s="14"/>
      <c r="AQ17" s="10"/>
      <c r="AR17" s="14"/>
      <c r="AS17" s="10"/>
      <c r="AT17" s="14"/>
      <c r="AU17" s="10"/>
      <c r="AV17" s="14"/>
      <c r="AW17" s="10"/>
      <c r="AX17" s="14"/>
      <c r="AY17" s="10"/>
      <c r="AZ17" s="14"/>
      <c r="BA17" s="10"/>
      <c r="BB17" s="14"/>
      <c r="BC17" s="10"/>
      <c r="BD17" s="14"/>
      <c r="BE17" s="10"/>
      <c r="BF17" s="14"/>
      <c r="BG17" s="10"/>
      <c r="BH17" s="14"/>
      <c r="BI17" s="14"/>
      <c r="BJ17" s="14"/>
      <c r="BK17" s="7">
        <f t="shared" si="0"/>
        <v>0</v>
      </c>
      <c r="BL17" s="10" t="s">
        <v>46</v>
      </c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  <c r="CF17" s="125"/>
      <c r="CG17" s="125"/>
      <c r="CH17" s="125"/>
      <c r="CI17" s="125"/>
      <c r="CJ17" s="125"/>
      <c r="CK17" s="125"/>
      <c r="CL17" s="125"/>
      <c r="CM17" s="125"/>
      <c r="CN17" s="125"/>
      <c r="CO17" s="125"/>
      <c r="CP17" s="125"/>
      <c r="CQ17" s="125"/>
      <c r="CR17" s="125"/>
      <c r="CS17" s="125"/>
      <c r="CT17" s="125"/>
      <c r="CU17" s="125"/>
      <c r="CV17" s="125"/>
      <c r="CW17" s="125"/>
      <c r="CX17" s="125"/>
      <c r="CY17" s="125"/>
      <c r="CZ17" s="125"/>
      <c r="DA17" s="125"/>
      <c r="DB17" s="125"/>
      <c r="DC17" s="125"/>
      <c r="DD17" s="125"/>
      <c r="DE17" s="125"/>
      <c r="DF17" s="125"/>
      <c r="DG17" s="125"/>
      <c r="DH17" s="125"/>
      <c r="DI17" s="125"/>
      <c r="DJ17" s="125"/>
      <c r="DK17" s="125"/>
      <c r="DL17" s="125"/>
      <c r="DM17" s="125"/>
      <c r="DN17" s="125"/>
      <c r="DO17" s="125"/>
      <c r="DP17" s="125"/>
      <c r="DQ17" s="125"/>
      <c r="DR17" s="125"/>
      <c r="DS17" s="125"/>
      <c r="DT17" s="125"/>
      <c r="DU17" s="125"/>
      <c r="DV17" s="125"/>
      <c r="DW17" s="125"/>
      <c r="DX17" s="125"/>
      <c r="DY17" s="125"/>
      <c r="DZ17" s="125"/>
      <c r="EA17" s="125"/>
      <c r="EB17" s="125"/>
      <c r="EC17" s="125"/>
      <c r="ED17" s="125"/>
      <c r="EE17" s="125"/>
      <c r="EF17" s="125"/>
      <c r="EG17" s="125"/>
      <c r="EH17" s="125"/>
      <c r="EI17" s="125"/>
      <c r="EJ17" s="125"/>
      <c r="EK17" s="125"/>
      <c r="EL17" s="125"/>
    </row>
    <row r="18" s="77" customFormat="1" ht="17" spans="2:142">
      <c r="B18" s="158" t="s">
        <v>47</v>
      </c>
      <c r="C18" s="10">
        <f>SUM(C3:D17)</f>
        <v>0</v>
      </c>
      <c r="D18" s="10"/>
      <c r="E18" s="10">
        <f>SUM(E3:F17)</f>
        <v>0</v>
      </c>
      <c r="F18" s="10"/>
      <c r="G18" s="10">
        <f>SUM(G3:H17)</f>
        <v>0</v>
      </c>
      <c r="H18" s="10"/>
      <c r="I18" s="10">
        <f>SUM(I3:J17)</f>
        <v>31.59</v>
      </c>
      <c r="J18" s="10"/>
      <c r="K18" s="10">
        <f>SUM(K3:L17)</f>
        <v>0</v>
      </c>
      <c r="L18" s="10"/>
      <c r="M18" s="10">
        <f>SUM(M3:N17)</f>
        <v>0</v>
      </c>
      <c r="N18" s="10"/>
      <c r="O18" s="10">
        <f>SUM(O3:P17)</f>
        <v>0</v>
      </c>
      <c r="P18" s="10"/>
      <c r="Q18" s="10">
        <f>SUM(Q3:R17)</f>
        <v>0</v>
      </c>
      <c r="R18" s="10"/>
      <c r="S18" s="10">
        <f>SUM(S3:T17)</f>
        <v>31.73</v>
      </c>
      <c r="T18" s="10"/>
      <c r="U18" s="10">
        <f>SUM(U3:V17)</f>
        <v>113.25</v>
      </c>
      <c r="V18" s="10"/>
      <c r="W18" s="10">
        <f>SUM(W3:X17)</f>
        <v>0</v>
      </c>
      <c r="X18" s="10"/>
      <c r="Y18" s="10">
        <f>SUM(Y3:Z17)</f>
        <v>52.24</v>
      </c>
      <c r="Z18" s="10"/>
      <c r="AA18" s="10">
        <f>SUM(AA3:AB17)</f>
        <v>0</v>
      </c>
      <c r="AB18" s="10"/>
      <c r="AC18" s="10">
        <f>SUM(AC3:AD17)</f>
        <v>0</v>
      </c>
      <c r="AD18" s="10"/>
      <c r="AE18" s="10">
        <f>SUM(AE3:AF17)</f>
        <v>0</v>
      </c>
      <c r="AF18" s="10"/>
      <c r="AG18" s="10">
        <f>SUM(AG3:AH17)</f>
        <v>0</v>
      </c>
      <c r="AH18" s="10"/>
      <c r="AI18" s="10">
        <f>SUM(AI3:AJ17)</f>
        <v>6.5</v>
      </c>
      <c r="AJ18" s="10"/>
      <c r="AK18" s="10">
        <f>SUM(AK3:AL17)</f>
        <v>0</v>
      </c>
      <c r="AL18" s="10"/>
      <c r="AM18" s="10">
        <f>SUM(AM3:AN17)</f>
        <v>55.89</v>
      </c>
      <c r="AN18" s="10"/>
      <c r="AO18" s="10">
        <f>SUM(AO3:AP17)</f>
        <v>80.98</v>
      </c>
      <c r="AP18" s="10"/>
      <c r="AQ18" s="10">
        <f>SUM(AQ3:AR17)</f>
        <v>0</v>
      </c>
      <c r="AR18" s="10"/>
      <c r="AS18" s="10">
        <f>SUM(AS3:AT17)</f>
        <v>0</v>
      </c>
      <c r="AT18" s="10"/>
      <c r="AU18" s="10">
        <f>SUM(AU3:AV17)</f>
        <v>0</v>
      </c>
      <c r="AV18" s="10"/>
      <c r="AW18" s="10">
        <f>SUM(AW3:AX17)</f>
        <v>62.8</v>
      </c>
      <c r="AX18" s="10"/>
      <c r="AY18" s="10">
        <f>SUM(AY3:AZ17)</f>
        <v>0</v>
      </c>
      <c r="AZ18" s="10"/>
      <c r="BA18" s="10">
        <f>SUM(BA3:BB17)</f>
        <v>0</v>
      </c>
      <c r="BB18" s="10"/>
      <c r="BC18" s="10">
        <f>SUM(BC3:BD17)</f>
        <v>5</v>
      </c>
      <c r="BD18" s="10"/>
      <c r="BE18" s="10">
        <f>SUM(BE3:BF17)</f>
        <v>122.44</v>
      </c>
      <c r="BF18" s="10"/>
      <c r="BG18" s="10">
        <f>SUM(BG3:BH17)</f>
        <v>0</v>
      </c>
      <c r="BH18" s="10"/>
      <c r="BI18" s="10">
        <f>SUM(BI3:BJ17)</f>
        <v>31</v>
      </c>
      <c r="BJ18" s="10"/>
      <c r="BK18" s="7">
        <f t="shared" si="0"/>
        <v>593.42</v>
      </c>
      <c r="BL18" s="158" t="s">
        <v>47</v>
      </c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  <c r="CF18" s="125"/>
      <c r="CG18" s="125"/>
      <c r="CH18" s="125"/>
      <c r="CI18" s="125"/>
      <c r="CJ18" s="125"/>
      <c r="CK18" s="125"/>
      <c r="CL18" s="125"/>
      <c r="CM18" s="125"/>
      <c r="CN18" s="125"/>
      <c r="CO18" s="125"/>
      <c r="CP18" s="125"/>
      <c r="CQ18" s="125"/>
      <c r="CR18" s="125"/>
      <c r="CS18" s="125"/>
      <c r="CT18" s="125"/>
      <c r="CU18" s="125"/>
      <c r="CV18" s="125"/>
      <c r="CW18" s="125"/>
      <c r="CX18" s="125"/>
      <c r="CY18" s="125"/>
      <c r="CZ18" s="125"/>
      <c r="DA18" s="125"/>
      <c r="DB18" s="125"/>
      <c r="DC18" s="125"/>
      <c r="DD18" s="125"/>
      <c r="DE18" s="125"/>
      <c r="DF18" s="125"/>
      <c r="DG18" s="125"/>
      <c r="DH18" s="125"/>
      <c r="DI18" s="125"/>
      <c r="DJ18" s="125"/>
      <c r="DK18" s="125"/>
      <c r="DL18" s="125"/>
      <c r="DM18" s="125"/>
      <c r="DN18" s="125"/>
      <c r="DO18" s="125"/>
      <c r="DP18" s="125"/>
      <c r="DQ18" s="125"/>
      <c r="DR18" s="125"/>
      <c r="DS18" s="125"/>
      <c r="DT18" s="125"/>
      <c r="DU18" s="125"/>
      <c r="DV18" s="125"/>
      <c r="DW18" s="125"/>
      <c r="DX18" s="125"/>
      <c r="DY18" s="125"/>
      <c r="DZ18" s="125"/>
      <c r="EA18" s="125"/>
      <c r="EB18" s="125"/>
      <c r="EC18" s="125"/>
      <c r="ED18" s="125"/>
      <c r="EE18" s="125"/>
      <c r="EF18" s="125"/>
      <c r="EG18" s="125"/>
      <c r="EH18" s="125"/>
      <c r="EI18" s="125"/>
      <c r="EJ18" s="125"/>
      <c r="EK18" s="125"/>
      <c r="EL18" s="125"/>
    </row>
    <row r="19" s="77" customFormat="1" ht="17" spans="1:142">
      <c r="A19" s="14" t="s">
        <v>48</v>
      </c>
      <c r="B19" s="85" t="s">
        <v>49</v>
      </c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10"/>
      <c r="Y19" s="10"/>
      <c r="Z19" s="85"/>
      <c r="AA19" s="85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68"/>
      <c r="BE19" s="68"/>
      <c r="BF19" s="68"/>
      <c r="BG19" s="68"/>
      <c r="BH19" s="68"/>
      <c r="BI19" s="68"/>
      <c r="BJ19" s="68"/>
      <c r="BK19" s="7">
        <f t="shared" si="0"/>
        <v>0</v>
      </c>
      <c r="BL19" s="85" t="s">
        <v>49</v>
      </c>
      <c r="BM19"/>
      <c r="BN19" s="51"/>
      <c r="BO19" s="51"/>
      <c r="BP19" s="51"/>
      <c r="BQ19" s="51"/>
      <c r="BR19" s="51"/>
      <c r="BS19" s="51"/>
      <c r="BT19" s="51"/>
      <c r="BU19" s="51"/>
      <c r="BV19" s="51"/>
      <c r="BW19" s="51"/>
      <c r="BX19" s="125"/>
      <c r="BY19" s="125"/>
      <c r="BZ19" s="125"/>
      <c r="CA19" s="125"/>
      <c r="CB19" s="125"/>
      <c r="CC19" s="125"/>
      <c r="CD19" s="125"/>
      <c r="CE19" s="125"/>
      <c r="CF19" s="125"/>
      <c r="CG19" s="125"/>
      <c r="CH19" s="125"/>
      <c r="CI19" s="125"/>
      <c r="CJ19" s="125"/>
      <c r="CK19" s="125"/>
      <c r="CL19" s="125"/>
      <c r="CM19" s="125"/>
      <c r="CN19" s="125"/>
      <c r="CO19" s="125"/>
      <c r="CP19" s="125"/>
      <c r="CQ19" s="125"/>
      <c r="CR19" s="125"/>
      <c r="CS19" s="125"/>
      <c r="CT19" s="125"/>
      <c r="CU19" s="125"/>
      <c r="CV19" s="125"/>
      <c r="CW19" s="125"/>
      <c r="CX19" s="125"/>
      <c r="CY19" s="125"/>
      <c r="CZ19" s="125"/>
      <c r="DA19" s="125"/>
      <c r="DB19" s="125"/>
      <c r="DC19" s="125"/>
      <c r="DD19" s="125"/>
      <c r="DE19" s="125"/>
      <c r="DF19" s="125"/>
      <c r="DG19" s="125"/>
      <c r="DH19" s="125"/>
      <c r="DI19" s="125"/>
      <c r="DJ19" s="125"/>
      <c r="DK19" s="125"/>
      <c r="DL19" s="125"/>
      <c r="DM19" s="125"/>
      <c r="DN19" s="125"/>
      <c r="DO19" s="125"/>
      <c r="DP19" s="125"/>
      <c r="DQ19" s="125"/>
      <c r="DR19" s="125"/>
      <c r="DS19" s="125"/>
      <c r="DT19" s="125"/>
      <c r="DU19" s="125"/>
      <c r="DV19" s="125"/>
      <c r="DW19" s="125"/>
      <c r="DX19" s="125"/>
      <c r="DY19" s="125"/>
      <c r="DZ19" s="125"/>
      <c r="EA19" s="125"/>
      <c r="EB19" s="125"/>
      <c r="EC19" s="125"/>
      <c r="ED19" s="125"/>
      <c r="EE19" s="125"/>
      <c r="EF19" s="125"/>
      <c r="EG19" s="125"/>
      <c r="EH19" s="125"/>
      <c r="EI19" s="125"/>
      <c r="EJ19" s="125"/>
      <c r="EK19" s="125"/>
      <c r="EL19" s="125"/>
    </row>
    <row r="20" s="51" customFormat="1" ht="17" spans="2:65">
      <c r="B20" s="85" t="s">
        <v>51</v>
      </c>
      <c r="C20" s="10"/>
      <c r="D20" s="10"/>
      <c r="E20" s="116"/>
      <c r="F20" s="117"/>
      <c r="G20" s="68"/>
      <c r="H20" s="68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10"/>
      <c r="Y20" s="10"/>
      <c r="Z20" s="85"/>
      <c r="AA20" s="85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68"/>
      <c r="BE20" s="68"/>
      <c r="BF20" s="68"/>
      <c r="BG20" s="68"/>
      <c r="BH20" s="68"/>
      <c r="BI20" s="68"/>
      <c r="BJ20" s="68"/>
      <c r="BK20" s="7">
        <f t="shared" si="0"/>
        <v>0</v>
      </c>
      <c r="BL20" s="85" t="s">
        <v>51</v>
      </c>
      <c r="BM20"/>
    </row>
    <row r="21" s="51" customFormat="1" spans="2:64"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AA21" s="154"/>
      <c r="AB21" s="154"/>
      <c r="BE21"/>
      <c r="BF21"/>
      <c r="BG21"/>
      <c r="BH21"/>
      <c r="BI21"/>
      <c r="BJ21"/>
      <c r="BK21"/>
      <c r="BL21"/>
    </row>
    <row r="22" s="51" customFormat="1" spans="2:64">
      <c r="B22" s="10" t="s">
        <v>52</v>
      </c>
      <c r="C22" s="10"/>
      <c r="D22" s="10" t="s">
        <v>53</v>
      </c>
      <c r="E22" s="10" t="s">
        <v>54</v>
      </c>
      <c r="F22" s="10" t="s">
        <v>3</v>
      </c>
      <c r="G22" s="165" t="s">
        <v>97</v>
      </c>
      <c r="H22" s="92"/>
      <c r="I22" s="92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AA22" s="154"/>
      <c r="AB22" s="154"/>
      <c r="BE22"/>
      <c r="BF22"/>
      <c r="BG22"/>
      <c r="BH22"/>
      <c r="BI22"/>
      <c r="BJ22"/>
      <c r="BK22"/>
      <c r="BL22"/>
    </row>
    <row r="23" s="51" customFormat="1" spans="2:64">
      <c r="B23" s="2" t="s">
        <v>57</v>
      </c>
      <c r="C23" s="2"/>
      <c r="D23" s="2" t="s">
        <v>98</v>
      </c>
      <c r="E23" s="112">
        <v>43949</v>
      </c>
      <c r="F23" s="2"/>
      <c r="G23" s="112">
        <v>43950</v>
      </c>
      <c r="H23" s="92"/>
      <c r="I23" s="92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AA23" s="154"/>
      <c r="AB23" s="154"/>
      <c r="BE23"/>
      <c r="BF23"/>
      <c r="BG23"/>
      <c r="BH23"/>
      <c r="BI23"/>
      <c r="BJ23"/>
      <c r="BK23"/>
      <c r="BL23"/>
    </row>
    <row r="24" s="51" customFormat="1" spans="2:64">
      <c r="B24" s="54" t="s">
        <v>60</v>
      </c>
      <c r="C24" s="54"/>
      <c r="D24" s="54">
        <v>1324.97</v>
      </c>
      <c r="E24" s="52">
        <v>300</v>
      </c>
      <c r="F24" s="54">
        <f>E24+D24</f>
        <v>1624.97</v>
      </c>
      <c r="G24" s="52">
        <v>-409.19</v>
      </c>
      <c r="H24" s="92"/>
      <c r="I24" s="92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AA24" s="154"/>
      <c r="AB24" s="154"/>
      <c r="BE24"/>
      <c r="BF24"/>
      <c r="BG24"/>
      <c r="BH24"/>
      <c r="BI24"/>
      <c r="BJ24"/>
      <c r="BK24"/>
      <c r="BL24"/>
    </row>
    <row r="25" s="51" customFormat="1" spans="2:28">
      <c r="B25" s="10" t="s">
        <v>61</v>
      </c>
      <c r="C25" s="10"/>
      <c r="D25" s="10"/>
      <c r="E25" s="10"/>
      <c r="F25" s="10"/>
      <c r="G25" s="52"/>
      <c r="H25" s="92"/>
      <c r="I25" s="92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AA25" s="154"/>
      <c r="AB25" s="154"/>
    </row>
    <row r="26" s="51" customFormat="1" spans="2:28"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AA26" s="154"/>
      <c r="AB26" s="154"/>
    </row>
    <row r="27" s="51" customFormat="1" spans="2:28">
      <c r="B27"/>
      <c r="C27"/>
      <c r="D27"/>
      <c r="E27"/>
      <c r="F27"/>
      <c r="G27"/>
      <c r="H27"/>
      <c r="I27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AA27" s="154"/>
      <c r="AB27" s="154"/>
    </row>
    <row r="28" s="51" customFormat="1" spans="2:28">
      <c r="B28"/>
      <c r="C28"/>
      <c r="D28"/>
      <c r="E28"/>
      <c r="F28"/>
      <c r="G28"/>
      <c r="H28"/>
      <c r="I28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AA28" s="154"/>
      <c r="AB28" s="154"/>
    </row>
    <row r="29" s="51" customFormat="1" spans="2:28">
      <c r="B29"/>
      <c r="C29"/>
      <c r="D29"/>
      <c r="E29"/>
      <c r="F29"/>
      <c r="G29"/>
      <c r="H29"/>
      <c r="I29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AA29" s="154"/>
      <c r="AB29" s="154"/>
    </row>
    <row r="30" s="51" customFormat="1" spans="2:28">
      <c r="B30" s="53"/>
      <c r="C30" s="53"/>
      <c r="D30" s="53"/>
      <c r="AA30" s="154"/>
      <c r="AB30" s="154"/>
    </row>
    <row r="31" s="51" customFormat="1" spans="2:28">
      <c r="B31" s="53"/>
      <c r="C31" s="53"/>
      <c r="D31" s="53"/>
      <c r="AA31" s="154"/>
      <c r="AB31" s="154"/>
    </row>
    <row r="32" s="51" customFormat="1" spans="2:28">
      <c r="B32" s="53"/>
      <c r="C32" s="53"/>
      <c r="D32" s="53"/>
      <c r="AA32" s="154"/>
      <c r="AB32" s="154"/>
    </row>
    <row r="33" s="51" customFormat="1" spans="2:28">
      <c r="B33" s="53"/>
      <c r="C33" s="53"/>
      <c r="D33" s="53"/>
      <c r="AA33" s="154"/>
      <c r="AB33" s="154"/>
    </row>
  </sheetData>
  <sheetProtection formatCells="0" insertHyperlinks="0" autoFilter="0"/>
  <mergeCells count="64"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N18"/>
    <mergeCell ref="AO18:AP18"/>
    <mergeCell ref="AQ18:AR18"/>
    <mergeCell ref="AS18:AT18"/>
    <mergeCell ref="AU18:AV18"/>
    <mergeCell ref="AW18:AX18"/>
    <mergeCell ref="AY18:AZ18"/>
    <mergeCell ref="BA18:BB18"/>
    <mergeCell ref="BC18:BD18"/>
    <mergeCell ref="BE18:BF18"/>
    <mergeCell ref="BG18:BH18"/>
    <mergeCell ref="BI18:BJ18"/>
    <mergeCell ref="D25:F25"/>
    <mergeCell ref="A3:A6"/>
    <mergeCell ref="A7:A12"/>
    <mergeCell ref="BK3:BK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RZJ42"/>
  <sheetViews>
    <sheetView zoomScale="86" zoomScaleNormal="86" topLeftCell="AU1" workbookViewId="0">
      <selection activeCell="BN9" sqref="BN9"/>
    </sheetView>
  </sheetViews>
  <sheetFormatPr defaultColWidth="9.81730769230769" defaultRowHeight="16.8"/>
  <cols>
    <col min="1" max="1" width="6" style="51" customWidth="1"/>
    <col min="2" max="3" width="20" style="51" customWidth="1"/>
    <col min="4" max="4" width="10.9230769230769" style="51" customWidth="1"/>
    <col min="5" max="5" width="15.7692307692308" style="51" customWidth="1"/>
    <col min="6" max="6" width="10.3076923076923" style="51" customWidth="1"/>
    <col min="7" max="7" width="12.7692307692308" style="51" customWidth="1"/>
    <col min="8" max="8" width="8.69230769230769" style="51" customWidth="1"/>
    <col min="9" max="9" width="6" style="51" customWidth="1"/>
    <col min="10" max="10" width="6.69230769230769" style="51" customWidth="1"/>
    <col min="11" max="11" width="24.0769230769231" style="51" customWidth="1"/>
    <col min="12" max="12" width="6.69230769230769" style="51" customWidth="1"/>
    <col min="13" max="13" width="10.3076923076923" style="51" customWidth="1"/>
    <col min="14" max="14" width="6.69230769230769" style="51" customWidth="1"/>
    <col min="15" max="15" width="19.2307692307692" style="51" customWidth="1"/>
    <col min="16" max="16" width="7.69230769230769" style="51" customWidth="1"/>
    <col min="17" max="17" width="6" style="51" customWidth="1"/>
    <col min="18" max="18" width="6.69230769230769" style="51" customWidth="1"/>
    <col min="19" max="19" width="12.7692307692308" style="51" customWidth="1"/>
    <col min="20" max="20" width="6.69230769230769" style="51" customWidth="1"/>
    <col min="21" max="21" width="8.15384615384615" style="51" customWidth="1"/>
    <col min="22" max="22" width="6.69230769230769" style="51" customWidth="1"/>
    <col min="23" max="23" width="8.84615384615385" style="51" customWidth="1"/>
    <col min="24" max="24" width="6.69230769230769" style="51" customWidth="1"/>
    <col min="25" max="25" width="10.3076923076923" style="51" customWidth="1"/>
    <col min="26" max="26" width="6.69230769230769" style="51" customWidth="1"/>
    <col min="27" max="28" width="7.625" style="51" customWidth="1"/>
    <col min="29" max="29" width="12.7692307692308" style="51" customWidth="1"/>
    <col min="30" max="30" width="7.69230769230769" style="51" customWidth="1"/>
    <col min="31" max="31" width="6" style="51" customWidth="1"/>
    <col min="32" max="32" width="6.69230769230769" style="51" customWidth="1"/>
    <col min="33" max="33" width="12.1538461538462" style="51" customWidth="1"/>
    <col min="34" max="34" width="6.69230769230769" style="51" customWidth="1"/>
    <col min="35" max="35" width="7.625" style="51" customWidth="1"/>
    <col min="36" max="36" width="14.125" style="51" customWidth="1"/>
    <col min="37" max="37" width="21.6153846153846" style="51" customWidth="1"/>
    <col min="38" max="38" width="7.69230769230769" style="51" customWidth="1"/>
    <col min="39" max="39" width="8.625" style="51" customWidth="1"/>
    <col min="40" max="40" width="20.875" style="51" customWidth="1"/>
    <col min="41" max="41" width="7.625" style="51" customWidth="1"/>
    <col min="42" max="42" width="17.5" style="51" customWidth="1"/>
    <col min="43" max="46" width="7.625" style="51" customWidth="1"/>
    <col min="47" max="47" width="13.6923076923077" style="51" customWidth="1"/>
    <col min="48" max="48" width="6.69230769230769" style="51" customWidth="1"/>
    <col min="49" max="49" width="7.625" style="51" customWidth="1"/>
    <col min="50" max="50" width="22" style="51" customWidth="1"/>
    <col min="51" max="54" width="7.625" style="51" customWidth="1"/>
    <col min="55" max="55" width="11.9230769230769" style="51" customWidth="1"/>
    <col min="56" max="56" width="6.69230769230769" style="51" customWidth="1"/>
    <col min="57" max="57" width="3.84615384615385" style="51" customWidth="1"/>
    <col min="58" max="58" width="6.69230769230769" style="51" customWidth="1"/>
    <col min="59" max="62" width="7.625" style="51" customWidth="1"/>
    <col min="63" max="63" width="6" style="51" customWidth="1"/>
    <col min="64" max="64" width="5.69230769230769" style="51" customWidth="1"/>
    <col min="65" max="65" width="8.15384615384615" style="51" customWidth="1"/>
    <col min="66" max="66" width="10.3076923076923" style="51" customWidth="1"/>
    <col min="67" max="67" width="9.625" style="51" customWidth="1"/>
    <col min="68" max="12718" width="8.875" style="51"/>
    <col min="12719" max="12854" width="8.875" style="141"/>
    <col min="12855" max="12855" width="8.875" style="31"/>
    <col min="12856" max="16384" width="9.875" style="31"/>
  </cols>
  <sheetData>
    <row r="1" spans="1:12854">
      <c r="A1" s="51" t="s">
        <v>99</v>
      </c>
      <c r="C1" s="142" t="s">
        <v>100</v>
      </c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52"/>
      <c r="RUD1" s="141"/>
      <c r="RZJ1" s="31"/>
    </row>
    <row r="2" s="140" customFormat="1" spans="1:66">
      <c r="A2" s="1"/>
      <c r="B2" s="34" t="s">
        <v>1</v>
      </c>
      <c r="C2" s="2">
        <v>43952</v>
      </c>
      <c r="D2" s="2"/>
      <c r="E2" s="2">
        <v>43953</v>
      </c>
      <c r="F2" s="2"/>
      <c r="G2" s="2">
        <v>43954</v>
      </c>
      <c r="H2" s="2"/>
      <c r="I2" s="2">
        <v>43955</v>
      </c>
      <c r="J2" s="2"/>
      <c r="K2" s="2">
        <v>43956</v>
      </c>
      <c r="L2" s="2"/>
      <c r="M2" s="2">
        <v>43957</v>
      </c>
      <c r="N2" s="2"/>
      <c r="O2" s="2">
        <v>43958</v>
      </c>
      <c r="P2" s="2"/>
      <c r="Q2" s="2">
        <v>43959</v>
      </c>
      <c r="R2" s="2"/>
      <c r="S2" s="126">
        <v>43960</v>
      </c>
      <c r="T2" s="127"/>
      <c r="U2" s="126">
        <v>43961</v>
      </c>
      <c r="V2" s="127"/>
      <c r="W2" s="126">
        <v>43962</v>
      </c>
      <c r="X2" s="127"/>
      <c r="Y2" s="126">
        <v>43963</v>
      </c>
      <c r="Z2" s="127"/>
      <c r="AA2" s="126">
        <v>43964</v>
      </c>
      <c r="AB2" s="127"/>
      <c r="AC2" s="126">
        <v>43965</v>
      </c>
      <c r="AD2" s="127"/>
      <c r="AE2" s="126">
        <v>43966</v>
      </c>
      <c r="AF2" s="127"/>
      <c r="AG2" s="126">
        <v>43967</v>
      </c>
      <c r="AH2" s="127"/>
      <c r="AI2" s="126">
        <v>43968</v>
      </c>
      <c r="AJ2" s="127"/>
      <c r="AK2" s="126">
        <v>43969</v>
      </c>
      <c r="AL2" s="127"/>
      <c r="AM2" s="126">
        <v>43970</v>
      </c>
      <c r="AN2" s="127"/>
      <c r="AO2" s="126">
        <v>43971</v>
      </c>
      <c r="AP2" s="127"/>
      <c r="AQ2" s="126">
        <v>43972</v>
      </c>
      <c r="AR2" s="127"/>
      <c r="AS2" s="126">
        <v>43973</v>
      </c>
      <c r="AT2" s="127"/>
      <c r="AU2" s="126">
        <v>43974</v>
      </c>
      <c r="AV2" s="127"/>
      <c r="AW2" s="126">
        <v>43975</v>
      </c>
      <c r="AX2" s="127"/>
      <c r="AY2" s="126">
        <v>43976</v>
      </c>
      <c r="AZ2" s="127"/>
      <c r="BA2" s="126">
        <v>43977</v>
      </c>
      <c r="BB2" s="127"/>
      <c r="BC2" s="126">
        <v>43978</v>
      </c>
      <c r="BD2" s="127"/>
      <c r="BE2" s="126">
        <v>43979</v>
      </c>
      <c r="BF2" s="127"/>
      <c r="BG2" s="126">
        <v>43980</v>
      </c>
      <c r="BH2" s="127"/>
      <c r="BI2" s="126">
        <v>43981</v>
      </c>
      <c r="BJ2" s="127"/>
      <c r="BK2" s="126">
        <v>43982</v>
      </c>
      <c r="BL2" s="127"/>
      <c r="BM2" s="78" t="s">
        <v>3</v>
      </c>
      <c r="BN2" s="2" t="s">
        <v>1</v>
      </c>
    </row>
    <row r="3" s="51" customFormat="1" spans="1:66">
      <c r="A3" s="144" t="s">
        <v>4</v>
      </c>
      <c r="B3" s="145" t="s">
        <v>5</v>
      </c>
      <c r="C3" s="10"/>
      <c r="D3" s="10"/>
      <c r="E3" s="10"/>
      <c r="F3" s="10"/>
      <c r="G3" s="10"/>
      <c r="H3" s="10"/>
      <c r="I3" s="10" t="s">
        <v>5</v>
      </c>
      <c r="J3" s="10">
        <v>3.6</v>
      </c>
      <c r="K3" s="10"/>
      <c r="L3" s="10"/>
      <c r="M3" s="10"/>
      <c r="N3" s="10"/>
      <c r="O3" s="10"/>
      <c r="P3" s="10"/>
      <c r="Q3" s="10"/>
      <c r="R3" s="10"/>
      <c r="T3" s="63"/>
      <c r="U3" s="9"/>
      <c r="V3" s="63"/>
      <c r="W3" s="9"/>
      <c r="X3" s="63"/>
      <c r="Y3" s="9"/>
      <c r="Z3" s="63"/>
      <c r="AA3" s="9"/>
      <c r="AB3" s="63"/>
      <c r="AC3" s="9"/>
      <c r="AD3" s="63"/>
      <c r="AE3" s="9"/>
      <c r="AF3" s="63"/>
      <c r="AG3" s="9"/>
      <c r="AH3" s="63"/>
      <c r="AI3" s="9"/>
      <c r="AJ3" s="63"/>
      <c r="AK3" s="9"/>
      <c r="AL3" s="63"/>
      <c r="AM3" s="9"/>
      <c r="AN3" s="63"/>
      <c r="AO3" s="9"/>
      <c r="AP3" s="63"/>
      <c r="AQ3" s="9"/>
      <c r="AR3" s="63"/>
      <c r="AS3" s="9"/>
      <c r="AT3" s="63"/>
      <c r="AU3" s="9"/>
      <c r="AV3" s="63"/>
      <c r="AW3" s="9"/>
      <c r="AX3" s="63"/>
      <c r="AY3" s="9"/>
      <c r="AZ3" s="63"/>
      <c r="BA3" s="9"/>
      <c r="BB3" s="63"/>
      <c r="BC3" s="9"/>
      <c r="BD3" s="63"/>
      <c r="BE3" s="9"/>
      <c r="BF3" s="63"/>
      <c r="BG3" s="9"/>
      <c r="BH3" s="63"/>
      <c r="BI3" s="63"/>
      <c r="BJ3" s="63"/>
      <c r="BK3" s="63"/>
      <c r="BL3" s="63"/>
      <c r="BM3" s="12">
        <f>SUM(C3:BL6)</f>
        <v>506.97</v>
      </c>
      <c r="BN3" s="5" t="s">
        <v>5</v>
      </c>
    </row>
    <row r="4" s="51" customFormat="1" spans="1:66">
      <c r="A4" s="131"/>
      <c r="B4" s="145" t="s">
        <v>6</v>
      </c>
      <c r="C4" s="10" t="s">
        <v>101</v>
      </c>
      <c r="D4" s="10">
        <v>33</v>
      </c>
      <c r="E4" s="10"/>
      <c r="F4" s="10"/>
      <c r="G4" s="10" t="s">
        <v>6</v>
      </c>
      <c r="H4" s="10">
        <v>8.6</v>
      </c>
      <c r="I4" s="10" t="s">
        <v>6</v>
      </c>
      <c r="J4" s="10">
        <v>18.3</v>
      </c>
      <c r="K4" s="10" t="s">
        <v>6</v>
      </c>
      <c r="L4" s="10">
        <v>7</v>
      </c>
      <c r="M4" s="10" t="s">
        <v>6</v>
      </c>
      <c r="N4" s="10">
        <v>28.6</v>
      </c>
      <c r="O4" s="10" t="s">
        <v>6</v>
      </c>
      <c r="P4" s="10">
        <v>20</v>
      </c>
      <c r="Q4" s="10" t="s">
        <v>6</v>
      </c>
      <c r="R4" s="10">
        <v>16</v>
      </c>
      <c r="T4" s="63"/>
      <c r="U4" s="9"/>
      <c r="V4" s="63"/>
      <c r="W4" s="9"/>
      <c r="X4" s="63"/>
      <c r="Y4" s="9"/>
      <c r="Z4" s="63"/>
      <c r="AA4" s="9"/>
      <c r="AB4" s="63"/>
      <c r="AC4" s="9"/>
      <c r="AD4" s="63"/>
      <c r="AE4" s="9"/>
      <c r="AF4" s="63"/>
      <c r="AG4" s="9"/>
      <c r="AH4" s="63"/>
      <c r="AI4" s="9"/>
      <c r="AJ4" s="63"/>
      <c r="AK4" s="9"/>
      <c r="AL4" s="63"/>
      <c r="AM4" s="9"/>
      <c r="AN4" s="63"/>
      <c r="AO4" s="9"/>
      <c r="AP4" s="63"/>
      <c r="AQ4" s="9"/>
      <c r="AR4" s="63"/>
      <c r="AS4" s="9"/>
      <c r="AT4" s="63"/>
      <c r="AU4" s="9"/>
      <c r="AV4" s="63"/>
      <c r="AW4" s="9"/>
      <c r="AX4" s="63"/>
      <c r="AY4" s="9"/>
      <c r="AZ4" s="63"/>
      <c r="BA4" s="9"/>
      <c r="BB4" s="63"/>
      <c r="BC4" s="9"/>
      <c r="BD4" s="63"/>
      <c r="BE4" s="9"/>
      <c r="BF4" s="63"/>
      <c r="BG4" s="9"/>
      <c r="BH4" s="63"/>
      <c r="BI4" s="63"/>
      <c r="BJ4" s="63"/>
      <c r="BK4" s="63"/>
      <c r="BL4" s="63"/>
      <c r="BM4" s="12"/>
      <c r="BN4" s="5" t="s">
        <v>6</v>
      </c>
    </row>
    <row r="5" s="51" customFormat="1" spans="1:66">
      <c r="A5" s="131"/>
      <c r="B5" s="145" t="s">
        <v>7</v>
      </c>
      <c r="C5" s="10" t="s">
        <v>102</v>
      </c>
      <c r="D5" s="10">
        <v>47.3</v>
      </c>
      <c r="E5" s="10" t="s">
        <v>103</v>
      </c>
      <c r="F5" s="10">
        <v>53.3</v>
      </c>
      <c r="G5" s="10" t="s">
        <v>7</v>
      </c>
      <c r="H5" s="10">
        <v>15</v>
      </c>
      <c r="I5" s="10" t="s">
        <v>7</v>
      </c>
      <c r="J5" s="10">
        <v>33.3</v>
      </c>
      <c r="K5" s="10" t="s">
        <v>7</v>
      </c>
      <c r="L5" s="10">
        <v>20</v>
      </c>
      <c r="M5" s="10" t="s">
        <v>7</v>
      </c>
      <c r="N5" s="10">
        <v>10</v>
      </c>
      <c r="O5" s="10" t="s">
        <v>7</v>
      </c>
      <c r="P5" s="10">
        <v>7</v>
      </c>
      <c r="Q5" s="10"/>
      <c r="R5" s="10"/>
      <c r="T5" s="63"/>
      <c r="U5" s="9"/>
      <c r="V5" s="63"/>
      <c r="W5" s="9"/>
      <c r="X5" s="63"/>
      <c r="Y5" s="9"/>
      <c r="Z5" s="63"/>
      <c r="AA5" s="9"/>
      <c r="AB5" s="63"/>
      <c r="AC5" s="9"/>
      <c r="AD5" s="63"/>
      <c r="AE5" s="9"/>
      <c r="AF5" s="63"/>
      <c r="AG5" s="9"/>
      <c r="AH5" s="63"/>
      <c r="AI5" s="9"/>
      <c r="AJ5" s="63"/>
      <c r="AK5" s="9"/>
      <c r="AL5" s="63"/>
      <c r="AM5" s="9"/>
      <c r="AN5" s="63"/>
      <c r="AO5" s="9"/>
      <c r="AP5" s="63"/>
      <c r="AQ5" s="9"/>
      <c r="AR5" s="63"/>
      <c r="AS5" s="9"/>
      <c r="AT5" s="63"/>
      <c r="AU5" s="9"/>
      <c r="AV5" s="63"/>
      <c r="AW5" s="9"/>
      <c r="AX5" s="63"/>
      <c r="AY5" s="9"/>
      <c r="AZ5" s="63"/>
      <c r="BA5" s="9"/>
      <c r="BB5" s="63"/>
      <c r="BC5" s="9"/>
      <c r="BD5" s="63"/>
      <c r="BE5" s="9"/>
      <c r="BF5" s="63"/>
      <c r="BG5" s="9"/>
      <c r="BH5" s="63"/>
      <c r="BI5" s="63"/>
      <c r="BJ5" s="63"/>
      <c r="BK5" s="63"/>
      <c r="BL5" s="63"/>
      <c r="BM5" s="12"/>
      <c r="BN5" s="5" t="s">
        <v>7</v>
      </c>
    </row>
    <row r="6" s="51" customFormat="1" spans="1:66">
      <c r="A6" s="130"/>
      <c r="B6" s="146" t="s">
        <v>8</v>
      </c>
      <c r="C6" s="10"/>
      <c r="D6" s="10"/>
      <c r="E6" s="10" t="s">
        <v>104</v>
      </c>
      <c r="F6" s="10">
        <f>13.3+31.6</f>
        <v>44.9</v>
      </c>
      <c r="G6" s="10" t="s">
        <v>105</v>
      </c>
      <c r="H6" s="10">
        <v>12</v>
      </c>
      <c r="I6" s="10" t="s">
        <v>106</v>
      </c>
      <c r="J6" s="10">
        <v>7.5</v>
      </c>
      <c r="K6" s="10" t="s">
        <v>106</v>
      </c>
      <c r="L6" s="10">
        <f>45+18+15</f>
        <v>78</v>
      </c>
      <c r="M6" s="10" t="s">
        <v>106</v>
      </c>
      <c r="N6" s="10">
        <v>43.57</v>
      </c>
      <c r="O6" s="10"/>
      <c r="P6" s="10"/>
      <c r="Q6" s="10"/>
      <c r="R6" s="10"/>
      <c r="S6" s="64"/>
      <c r="T6" s="65"/>
      <c r="U6" s="4"/>
      <c r="V6" s="65"/>
      <c r="W6" s="4"/>
      <c r="X6" s="65"/>
      <c r="Y6" s="4"/>
      <c r="Z6" s="65"/>
      <c r="AA6" s="4"/>
      <c r="AB6" s="65"/>
      <c r="AC6" s="4"/>
      <c r="AD6" s="65"/>
      <c r="AE6" s="4"/>
      <c r="AF6" s="65"/>
      <c r="AG6" s="4"/>
      <c r="AH6" s="65"/>
      <c r="AI6" s="4"/>
      <c r="AJ6" s="65"/>
      <c r="AK6" s="4"/>
      <c r="AL6" s="65"/>
      <c r="AM6" s="4"/>
      <c r="AN6" s="65"/>
      <c r="AO6" s="4"/>
      <c r="AP6" s="65"/>
      <c r="AQ6" s="4"/>
      <c r="AR6" s="65"/>
      <c r="AS6" s="4"/>
      <c r="AT6" s="65"/>
      <c r="AU6" s="4"/>
      <c r="AV6" s="65"/>
      <c r="AW6" s="4"/>
      <c r="AX6" s="65"/>
      <c r="AY6" s="4"/>
      <c r="AZ6" s="65"/>
      <c r="BA6" s="4"/>
      <c r="BB6" s="65"/>
      <c r="BC6" s="4"/>
      <c r="BD6" s="65"/>
      <c r="BE6" s="4"/>
      <c r="BF6" s="65"/>
      <c r="BG6" s="4"/>
      <c r="BH6" s="65"/>
      <c r="BI6" s="65"/>
      <c r="BJ6" s="65"/>
      <c r="BK6" s="65"/>
      <c r="BL6" s="65"/>
      <c r="BM6" s="12"/>
      <c r="BN6" s="10" t="s">
        <v>8</v>
      </c>
    </row>
    <row r="7" s="51" customFormat="1" spans="1:66">
      <c r="A7" s="8" t="s">
        <v>10</v>
      </c>
      <c r="B7" s="44" t="s">
        <v>11</v>
      </c>
      <c r="C7" s="10"/>
      <c r="D7" s="10"/>
      <c r="E7" s="10"/>
      <c r="F7" s="10"/>
      <c r="G7" s="10"/>
      <c r="H7" s="10"/>
      <c r="I7" s="10" t="s">
        <v>107</v>
      </c>
      <c r="J7" s="10">
        <v>6</v>
      </c>
      <c r="K7" s="10" t="s">
        <v>108</v>
      </c>
      <c r="L7" s="10">
        <v>60</v>
      </c>
      <c r="M7" s="10" t="s">
        <v>109</v>
      </c>
      <c r="N7" s="10">
        <f>2+2.1+8</f>
        <v>12.1</v>
      </c>
      <c r="O7" s="10" t="s">
        <v>110</v>
      </c>
      <c r="P7" s="10">
        <f>12.5+10+6+93.5</f>
        <v>122</v>
      </c>
      <c r="Q7" s="10" t="s">
        <v>109</v>
      </c>
      <c r="R7" s="10">
        <v>17</v>
      </c>
      <c r="S7" s="66"/>
      <c r="T7" s="67"/>
      <c r="U7" s="8"/>
      <c r="V7" s="67"/>
      <c r="W7" s="8"/>
      <c r="X7" s="67"/>
      <c r="Y7" s="8"/>
      <c r="Z7" s="67"/>
      <c r="AA7" s="8"/>
      <c r="AB7" s="67"/>
      <c r="AC7" s="8"/>
      <c r="AD7" s="67"/>
      <c r="AE7" s="8"/>
      <c r="AF7" s="67"/>
      <c r="AG7" s="8"/>
      <c r="AH7" s="67"/>
      <c r="AI7" s="8"/>
      <c r="AJ7" s="67"/>
      <c r="AK7" s="8"/>
      <c r="AL7" s="67"/>
      <c r="AM7" s="8"/>
      <c r="AN7" s="67"/>
      <c r="AO7" s="8"/>
      <c r="AP7" s="67"/>
      <c r="AQ7" s="8"/>
      <c r="AR7" s="67"/>
      <c r="AS7" s="8"/>
      <c r="AT7" s="67"/>
      <c r="AU7" s="8"/>
      <c r="AV7" s="67"/>
      <c r="AW7" s="8"/>
      <c r="AX7" s="67"/>
      <c r="AY7" s="8"/>
      <c r="AZ7" s="67"/>
      <c r="BA7" s="8"/>
      <c r="BB7" s="67"/>
      <c r="BC7" s="8"/>
      <c r="BD7" s="67"/>
      <c r="BE7" s="8"/>
      <c r="BF7" s="67"/>
      <c r="BG7" s="8"/>
      <c r="BH7" s="67"/>
      <c r="BI7" s="66"/>
      <c r="BJ7" s="67"/>
      <c r="BK7" s="66"/>
      <c r="BL7" s="66"/>
      <c r="BM7" s="12">
        <f>SUM(C7:BL7)</f>
        <v>217.1</v>
      </c>
      <c r="BN7" s="10" t="s">
        <v>11</v>
      </c>
    </row>
    <row r="8" s="51" customFormat="1" spans="1:66">
      <c r="A8" s="9"/>
      <c r="B8" s="44" t="s">
        <v>15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51" t="s">
        <v>111</v>
      </c>
      <c r="T8" s="63">
        <v>50</v>
      </c>
      <c r="U8" s="9"/>
      <c r="V8" s="63"/>
      <c r="W8" s="9" t="s">
        <v>112</v>
      </c>
      <c r="X8" s="63">
        <v>46</v>
      </c>
      <c r="Y8" s="9"/>
      <c r="Z8" s="63"/>
      <c r="AC8" s="9" t="s">
        <v>111</v>
      </c>
      <c r="AD8" s="63">
        <v>290</v>
      </c>
      <c r="AE8" s="9"/>
      <c r="AF8" s="63"/>
      <c r="AG8" s="9"/>
      <c r="AH8" s="63"/>
      <c r="AI8" s="9"/>
      <c r="AJ8" s="63"/>
      <c r="AK8" s="9"/>
      <c r="AL8" s="63"/>
      <c r="AM8" s="9"/>
      <c r="AN8" s="63"/>
      <c r="AO8" s="9"/>
      <c r="AP8" s="63"/>
      <c r="AQ8" s="9"/>
      <c r="AR8" s="63"/>
      <c r="AS8" s="9"/>
      <c r="AT8" s="63"/>
      <c r="AU8" s="9"/>
      <c r="AV8" s="63"/>
      <c r="AW8" s="9"/>
      <c r="AX8" s="63"/>
      <c r="AY8" s="9"/>
      <c r="AZ8" s="63"/>
      <c r="BA8" s="9"/>
      <c r="BB8" s="63"/>
      <c r="BC8" s="9"/>
      <c r="BD8" s="63"/>
      <c r="BE8" s="9"/>
      <c r="BF8" s="63"/>
      <c r="BG8" s="9"/>
      <c r="BH8" s="63"/>
      <c r="BJ8" s="63"/>
      <c r="BM8" s="12">
        <f>SUM(C8:BL8)</f>
        <v>386</v>
      </c>
      <c r="BN8" s="10" t="s">
        <v>15</v>
      </c>
    </row>
    <row r="9" s="51" customFormat="1" spans="1:66">
      <c r="A9" s="9"/>
      <c r="B9" s="45" t="s">
        <v>16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T9" s="63"/>
      <c r="U9" s="9"/>
      <c r="V9" s="63"/>
      <c r="W9" s="9"/>
      <c r="X9" s="63"/>
      <c r="Y9" s="9"/>
      <c r="Z9" s="63"/>
      <c r="AC9" s="9"/>
      <c r="AD9" s="63"/>
      <c r="AE9" s="9"/>
      <c r="AF9" s="63"/>
      <c r="AG9" s="9"/>
      <c r="AH9" s="63"/>
      <c r="AI9" s="9"/>
      <c r="AJ9" s="63"/>
      <c r="AK9" s="9"/>
      <c r="AL9" s="63"/>
      <c r="AM9" s="9"/>
      <c r="AN9" s="63"/>
      <c r="AO9" s="9"/>
      <c r="AP9" s="63"/>
      <c r="AQ9" s="9"/>
      <c r="AR9" s="63"/>
      <c r="AS9" s="9"/>
      <c r="AT9" s="63"/>
      <c r="AU9" s="9"/>
      <c r="AV9" s="63"/>
      <c r="AW9" s="9"/>
      <c r="AX9" s="63"/>
      <c r="AY9" s="9"/>
      <c r="AZ9" s="63"/>
      <c r="BA9" s="9"/>
      <c r="BB9" s="63"/>
      <c r="BC9" s="9"/>
      <c r="BD9" s="63"/>
      <c r="BE9" s="9"/>
      <c r="BF9" s="63"/>
      <c r="BG9" s="9"/>
      <c r="BH9" s="63"/>
      <c r="BJ9" s="63"/>
      <c r="BM9" s="12">
        <f t="shared" ref="BM9:BM20" si="0">SUM(C9:BL9)</f>
        <v>0</v>
      </c>
      <c r="BN9" s="10" t="s">
        <v>16</v>
      </c>
    </row>
    <row r="10" s="51" customFormat="1" spans="1:66">
      <c r="A10" s="9"/>
      <c r="B10" s="46" t="s">
        <v>21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T10" s="63"/>
      <c r="U10" s="9"/>
      <c r="V10" s="63"/>
      <c r="W10" s="9"/>
      <c r="X10" s="63"/>
      <c r="Y10" s="9"/>
      <c r="Z10" s="63"/>
      <c r="AA10" s="9"/>
      <c r="AB10" s="63"/>
      <c r="AC10" s="9"/>
      <c r="AD10" s="63"/>
      <c r="AE10" s="9"/>
      <c r="AF10" s="63"/>
      <c r="AG10" s="9" t="s">
        <v>113</v>
      </c>
      <c r="AH10" s="63">
        <v>6</v>
      </c>
      <c r="AI10" s="9"/>
      <c r="AJ10" s="63"/>
      <c r="AK10" s="9" t="s">
        <v>114</v>
      </c>
      <c r="AL10" s="63">
        <f>96+19</f>
        <v>115</v>
      </c>
      <c r="AM10" s="9"/>
      <c r="AN10" s="63"/>
      <c r="AO10" s="9"/>
      <c r="AP10" s="63"/>
      <c r="AQ10" s="9"/>
      <c r="AR10" s="63"/>
      <c r="AS10" s="9"/>
      <c r="AT10" s="63"/>
      <c r="AU10" s="9" t="s">
        <v>115</v>
      </c>
      <c r="AV10" s="63">
        <v>10</v>
      </c>
      <c r="AW10" s="9"/>
      <c r="AX10" s="63"/>
      <c r="AY10" s="9"/>
      <c r="AZ10" s="63"/>
      <c r="BA10" s="9"/>
      <c r="BB10" s="63"/>
      <c r="BC10" s="9"/>
      <c r="BD10" s="63"/>
      <c r="BE10" s="9"/>
      <c r="BF10" s="63"/>
      <c r="BG10" s="9"/>
      <c r="BH10" s="63"/>
      <c r="BJ10" s="63"/>
      <c r="BK10" s="51" t="s">
        <v>116</v>
      </c>
      <c r="BL10" s="51">
        <v>6.69</v>
      </c>
      <c r="BM10" s="12">
        <f t="shared" si="0"/>
        <v>137.69</v>
      </c>
      <c r="BN10" s="10" t="s">
        <v>21</v>
      </c>
    </row>
    <row r="11" s="51" customFormat="1" spans="1:66">
      <c r="A11" s="9"/>
      <c r="B11" s="46" t="s">
        <v>26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 t="s">
        <v>117</v>
      </c>
      <c r="N11" s="10">
        <v>57</v>
      </c>
      <c r="O11" s="10"/>
      <c r="P11" s="10"/>
      <c r="Q11" s="10"/>
      <c r="R11" s="10"/>
      <c r="T11" s="63"/>
      <c r="U11" s="9"/>
      <c r="V11" s="63"/>
      <c r="W11" s="9"/>
      <c r="X11" s="63"/>
      <c r="Y11" s="9"/>
      <c r="Z11" s="63"/>
      <c r="AA11" s="9"/>
      <c r="AB11" s="63"/>
      <c r="AC11" s="9"/>
      <c r="AD11" s="63"/>
      <c r="AE11" s="9"/>
      <c r="AF11" s="63"/>
      <c r="AG11" s="9"/>
      <c r="AH11" s="63"/>
      <c r="AI11" s="9"/>
      <c r="AJ11" s="63"/>
      <c r="AK11" s="9"/>
      <c r="AL11" s="63"/>
      <c r="AM11" s="9"/>
      <c r="AN11" s="63"/>
      <c r="AO11" s="9"/>
      <c r="AP11" s="63"/>
      <c r="AQ11" s="9"/>
      <c r="AR11" s="63"/>
      <c r="AS11" s="9"/>
      <c r="AT11" s="63"/>
      <c r="AU11" s="9"/>
      <c r="AV11" s="63"/>
      <c r="AW11" s="9"/>
      <c r="AX11" s="63"/>
      <c r="AY11" s="9"/>
      <c r="AZ11" s="63"/>
      <c r="BA11" s="9"/>
      <c r="BB11" s="63"/>
      <c r="BC11" s="9"/>
      <c r="BD11" s="63"/>
      <c r="BE11" s="9"/>
      <c r="BF11" s="63"/>
      <c r="BG11" s="9"/>
      <c r="BH11" s="63"/>
      <c r="BJ11" s="63"/>
      <c r="BM11" s="12">
        <f t="shared" si="0"/>
        <v>57</v>
      </c>
      <c r="BN11" s="10" t="s">
        <v>26</v>
      </c>
    </row>
    <row r="12" s="51" customFormat="1" spans="1:66">
      <c r="A12" s="9"/>
      <c r="B12" s="46" t="s">
        <v>29</v>
      </c>
      <c r="C12" s="10" t="s">
        <v>118</v>
      </c>
      <c r="D12" s="10">
        <v>34</v>
      </c>
      <c r="E12" s="10" t="s">
        <v>118</v>
      </c>
      <c r="F12" s="10">
        <v>32.3</v>
      </c>
      <c r="G12" s="10" t="s">
        <v>118</v>
      </c>
      <c r="H12" s="10">
        <v>30</v>
      </c>
      <c r="I12" s="10" t="s">
        <v>118</v>
      </c>
      <c r="J12" s="10">
        <v>42.6</v>
      </c>
      <c r="K12" s="10" t="s">
        <v>118</v>
      </c>
      <c r="L12" s="10">
        <v>73</v>
      </c>
      <c r="M12" s="10"/>
      <c r="N12" s="10"/>
      <c r="O12" s="10" t="s">
        <v>118</v>
      </c>
      <c r="P12" s="10">
        <v>32.5</v>
      </c>
      <c r="Q12" s="10"/>
      <c r="R12" s="10"/>
      <c r="T12" s="63"/>
      <c r="U12" s="9"/>
      <c r="V12" s="63"/>
      <c r="W12" s="9"/>
      <c r="X12" s="63"/>
      <c r="Y12" s="9"/>
      <c r="Z12" s="63"/>
      <c r="AA12" s="9"/>
      <c r="AB12" s="63"/>
      <c r="AC12" s="9"/>
      <c r="AD12" s="63"/>
      <c r="AE12" s="9"/>
      <c r="AF12" s="63"/>
      <c r="AG12" s="9"/>
      <c r="AH12" s="63"/>
      <c r="AI12" s="9"/>
      <c r="AJ12" s="63"/>
      <c r="AK12" s="9"/>
      <c r="AL12" s="63"/>
      <c r="AM12" s="9"/>
      <c r="AN12" s="63"/>
      <c r="AO12" s="9"/>
      <c r="AP12" s="63"/>
      <c r="AQ12" s="9"/>
      <c r="AR12" s="63"/>
      <c r="AS12" s="9"/>
      <c r="AT12" s="63"/>
      <c r="AU12" s="9"/>
      <c r="AV12" s="63"/>
      <c r="AW12" s="9"/>
      <c r="AX12" s="63"/>
      <c r="AY12" s="9"/>
      <c r="AZ12" s="63"/>
      <c r="BA12" s="9"/>
      <c r="BB12" s="63"/>
      <c r="BC12" s="9"/>
      <c r="BD12" s="63"/>
      <c r="BE12" s="9"/>
      <c r="BF12" s="63"/>
      <c r="BG12" s="9"/>
      <c r="BH12" s="63"/>
      <c r="BJ12" s="63"/>
      <c r="BM12" s="12">
        <f t="shared" si="0"/>
        <v>244.4</v>
      </c>
      <c r="BN12" s="10" t="s">
        <v>29</v>
      </c>
    </row>
    <row r="13" s="77" customFormat="1" spans="1:179">
      <c r="A13" s="14" t="s">
        <v>30</v>
      </c>
      <c r="B13" s="47" t="s">
        <v>31</v>
      </c>
      <c r="C13" s="10"/>
      <c r="D13" s="147"/>
      <c r="E13" s="10"/>
      <c r="F13" s="10">
        <v>4</v>
      </c>
      <c r="G13" s="10"/>
      <c r="H13" s="10"/>
      <c r="I13" s="10"/>
      <c r="J13" s="10"/>
      <c r="K13" s="10"/>
      <c r="L13" s="10">
        <v>3</v>
      </c>
      <c r="M13" s="10"/>
      <c r="N13" s="10">
        <v>3</v>
      </c>
      <c r="O13" s="10" t="s">
        <v>119</v>
      </c>
      <c r="P13" s="10">
        <f>120+50</f>
        <v>170</v>
      </c>
      <c r="Q13" s="10"/>
      <c r="R13" s="10"/>
      <c r="S13" s="48"/>
      <c r="T13" s="14"/>
      <c r="U13" s="10"/>
      <c r="V13" s="14"/>
      <c r="W13" s="10"/>
      <c r="X13" s="14"/>
      <c r="Y13" s="10" t="s">
        <v>120</v>
      </c>
      <c r="Z13" s="14">
        <v>39</v>
      </c>
      <c r="AA13" s="10"/>
      <c r="AB13" s="14"/>
      <c r="AC13" s="10"/>
      <c r="AD13" s="14"/>
      <c r="AE13" s="10"/>
      <c r="AF13" s="14"/>
      <c r="AG13" s="10"/>
      <c r="AH13" s="10"/>
      <c r="AK13" s="10"/>
      <c r="AL13" s="14"/>
      <c r="AM13" s="10"/>
      <c r="AN13" s="14"/>
      <c r="AO13" s="10"/>
      <c r="AP13" s="14"/>
      <c r="AQ13" s="10"/>
      <c r="AR13" s="14"/>
      <c r="AS13" s="10"/>
      <c r="AT13" s="14"/>
      <c r="AU13" s="10"/>
      <c r="AV13" s="14"/>
      <c r="AW13" s="10"/>
      <c r="AX13" s="14"/>
      <c r="AY13" s="10"/>
      <c r="AZ13" s="14"/>
      <c r="BA13" s="10"/>
      <c r="BB13" s="14"/>
      <c r="BC13" s="10" t="s">
        <v>121</v>
      </c>
      <c r="BD13" s="14">
        <v>24</v>
      </c>
      <c r="BE13" s="10"/>
      <c r="BF13" s="14"/>
      <c r="BG13" s="10"/>
      <c r="BH13" s="14"/>
      <c r="BI13" s="14"/>
      <c r="BJ13" s="14"/>
      <c r="BK13" s="14"/>
      <c r="BL13" s="14"/>
      <c r="BM13" s="12">
        <f t="shared" si="0"/>
        <v>243</v>
      </c>
      <c r="BN13" s="10" t="s">
        <v>31</v>
      </c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  <c r="DK13" s="51"/>
      <c r="DL13" s="51"/>
      <c r="DM13" s="51"/>
      <c r="DN13" s="51"/>
      <c r="DO13" s="51"/>
      <c r="DP13" s="51"/>
      <c r="DQ13" s="51"/>
      <c r="DR13" s="51"/>
      <c r="DS13" s="51"/>
      <c r="DT13" s="51"/>
      <c r="DU13" s="51"/>
      <c r="DV13" s="51"/>
      <c r="DW13" s="51"/>
      <c r="DX13" s="51"/>
      <c r="DY13" s="51"/>
      <c r="DZ13" s="51"/>
      <c r="EA13" s="51"/>
      <c r="EB13" s="51"/>
      <c r="EC13" s="51"/>
      <c r="ED13" s="51"/>
      <c r="EE13" s="51"/>
      <c r="EF13" s="51"/>
      <c r="EG13" s="51"/>
      <c r="EH13" s="51"/>
      <c r="EI13" s="51"/>
      <c r="EJ13" s="51"/>
      <c r="EK13" s="51"/>
      <c r="EL13" s="51"/>
      <c r="EM13" s="51"/>
      <c r="EN13" s="51"/>
      <c r="EO13" s="51"/>
      <c r="EP13" s="51"/>
      <c r="EQ13" s="51"/>
      <c r="ER13" s="51"/>
      <c r="ES13" s="51"/>
      <c r="ET13" s="51"/>
      <c r="EU13" s="51"/>
      <c r="EV13" s="51"/>
      <c r="EW13" s="51"/>
      <c r="EX13" s="51"/>
      <c r="EY13" s="51"/>
      <c r="EZ13" s="51"/>
      <c r="FA13" s="51"/>
      <c r="FB13" s="51"/>
      <c r="FC13" s="51"/>
      <c r="FD13" s="51"/>
      <c r="FE13" s="51"/>
      <c r="FF13" s="51"/>
      <c r="FG13" s="51"/>
      <c r="FH13" s="51"/>
      <c r="FI13" s="51"/>
      <c r="FJ13" s="51"/>
      <c r="FK13" s="51"/>
      <c r="FL13" s="51"/>
      <c r="FM13" s="51"/>
      <c r="FN13" s="51"/>
      <c r="FO13" s="51"/>
      <c r="FP13" s="51"/>
      <c r="FQ13" s="51"/>
      <c r="FR13" s="51"/>
      <c r="FS13" s="51"/>
      <c r="FT13" s="51"/>
      <c r="FU13" s="51"/>
      <c r="FV13" s="51"/>
      <c r="FW13" s="51"/>
    </row>
    <row r="14" s="77" customFormat="1" spans="1:179">
      <c r="A14" s="14" t="s">
        <v>35</v>
      </c>
      <c r="B14" s="148" t="s">
        <v>36</v>
      </c>
      <c r="C14" s="69" t="s">
        <v>122</v>
      </c>
      <c r="D14" s="149">
        <v>348.99</v>
      </c>
      <c r="E14" s="10" t="s">
        <v>123</v>
      </c>
      <c r="F14" s="10">
        <v>186.4</v>
      </c>
      <c r="G14" s="10" t="s">
        <v>124</v>
      </c>
      <c r="H14" s="10">
        <v>124.5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48"/>
      <c r="T14" s="14"/>
      <c r="U14" s="10"/>
      <c r="V14" s="14"/>
      <c r="W14" s="10"/>
      <c r="X14" s="14"/>
      <c r="Y14" s="10"/>
      <c r="Z14" s="14"/>
      <c r="AA14" s="10"/>
      <c r="AB14" s="14"/>
      <c r="AC14" s="10"/>
      <c r="AD14" s="14"/>
      <c r="AE14" s="10"/>
      <c r="AF14" s="14"/>
      <c r="AG14" s="10"/>
      <c r="AH14" s="10"/>
      <c r="AK14" s="10"/>
      <c r="AL14" s="14"/>
      <c r="AM14" s="10"/>
      <c r="AN14" s="14"/>
      <c r="AO14" s="10"/>
      <c r="AP14" s="14"/>
      <c r="AQ14" s="10"/>
      <c r="AR14" s="14"/>
      <c r="AS14" s="10"/>
      <c r="AT14" s="14"/>
      <c r="AU14" s="10"/>
      <c r="AV14" s="14"/>
      <c r="AW14" s="10"/>
      <c r="AX14" s="14"/>
      <c r="AY14" s="10"/>
      <c r="AZ14" s="14"/>
      <c r="BA14" s="10"/>
      <c r="BB14" s="14"/>
      <c r="BC14" s="10"/>
      <c r="BD14" s="14"/>
      <c r="BE14" s="10"/>
      <c r="BF14" s="14"/>
      <c r="BG14" s="10"/>
      <c r="BH14" s="14"/>
      <c r="BI14" s="14"/>
      <c r="BJ14" s="14"/>
      <c r="BK14" s="14"/>
      <c r="BL14" s="14"/>
      <c r="BM14" s="12">
        <f t="shared" si="0"/>
        <v>659.89</v>
      </c>
      <c r="BN14" s="10" t="s">
        <v>36</v>
      </c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51"/>
      <c r="DG14" s="51"/>
      <c r="DH14" s="51"/>
      <c r="DI14" s="51"/>
      <c r="DJ14" s="51"/>
      <c r="DK14" s="51"/>
      <c r="DL14" s="51"/>
      <c r="DM14" s="51"/>
      <c r="DN14" s="51"/>
      <c r="DO14" s="51"/>
      <c r="DP14" s="51"/>
      <c r="DQ14" s="51"/>
      <c r="DR14" s="51"/>
      <c r="DS14" s="51"/>
      <c r="DT14" s="51"/>
      <c r="DU14" s="51"/>
      <c r="DV14" s="51"/>
      <c r="DW14" s="51"/>
      <c r="DX14" s="51"/>
      <c r="DY14" s="51"/>
      <c r="DZ14" s="51"/>
      <c r="EA14" s="51"/>
      <c r="EB14" s="51"/>
      <c r="EC14" s="51"/>
      <c r="ED14" s="51"/>
      <c r="EE14" s="51"/>
      <c r="EF14" s="51"/>
      <c r="EG14" s="51"/>
      <c r="EH14" s="51"/>
      <c r="EI14" s="51"/>
      <c r="EJ14" s="51"/>
      <c r="EK14" s="51"/>
      <c r="EL14" s="51"/>
      <c r="EM14" s="51"/>
      <c r="EN14" s="51"/>
      <c r="EO14" s="51"/>
      <c r="EP14" s="51"/>
      <c r="EQ14" s="51"/>
      <c r="ER14" s="51"/>
      <c r="ES14" s="51"/>
      <c r="ET14" s="51"/>
      <c r="EU14" s="51"/>
      <c r="EV14" s="51"/>
      <c r="EW14" s="51"/>
      <c r="EX14" s="51"/>
      <c r="EY14" s="51"/>
      <c r="EZ14" s="51"/>
      <c r="FA14" s="51"/>
      <c r="FB14" s="51"/>
      <c r="FC14" s="51"/>
      <c r="FD14" s="51"/>
      <c r="FE14" s="51"/>
      <c r="FF14" s="51"/>
      <c r="FG14" s="51"/>
      <c r="FH14" s="51"/>
      <c r="FI14" s="51"/>
      <c r="FJ14" s="51"/>
      <c r="FK14" s="51"/>
      <c r="FL14" s="51"/>
      <c r="FM14" s="51"/>
      <c r="FN14" s="51"/>
      <c r="FO14" s="51"/>
      <c r="FP14" s="51"/>
      <c r="FQ14" s="51"/>
      <c r="FR14" s="51"/>
      <c r="FS14" s="51"/>
      <c r="FT14" s="51"/>
      <c r="FU14" s="51"/>
      <c r="FV14" s="51"/>
      <c r="FW14" s="51"/>
    </row>
    <row r="15" s="77" customFormat="1" spans="1:179">
      <c r="A15" s="14" t="s">
        <v>38</v>
      </c>
      <c r="B15" s="150" t="s">
        <v>39</v>
      </c>
      <c r="C15" s="10"/>
      <c r="D15" s="147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48"/>
      <c r="T15" s="14"/>
      <c r="U15" s="10" t="s">
        <v>125</v>
      </c>
      <c r="V15" s="14">
        <v>24</v>
      </c>
      <c r="W15" s="10"/>
      <c r="X15" s="14"/>
      <c r="Y15" s="10"/>
      <c r="Z15" s="14"/>
      <c r="AA15" s="10"/>
      <c r="AB15" s="14"/>
      <c r="AC15" s="10"/>
      <c r="AD15" s="14"/>
      <c r="AE15" s="10" t="s">
        <v>126</v>
      </c>
      <c r="AF15" s="14">
        <v>19.21</v>
      </c>
      <c r="AG15" s="10"/>
      <c r="AH15" s="14"/>
      <c r="AI15" s="10"/>
      <c r="AJ15" s="14"/>
      <c r="AK15" s="10"/>
      <c r="AL15" s="14"/>
      <c r="AM15" s="10"/>
      <c r="AN15" s="14"/>
      <c r="AO15" s="10"/>
      <c r="AP15" s="14"/>
      <c r="AQ15" s="10"/>
      <c r="AR15" s="14"/>
      <c r="AS15" s="10"/>
      <c r="AT15" s="14"/>
      <c r="AU15" s="10"/>
      <c r="AV15" s="14"/>
      <c r="AW15" s="10"/>
      <c r="AX15" s="14"/>
      <c r="AY15" s="10"/>
      <c r="AZ15" s="14"/>
      <c r="BA15" s="10"/>
      <c r="BB15" s="14"/>
      <c r="BC15" s="10"/>
      <c r="BD15" s="14"/>
      <c r="BE15" s="10"/>
      <c r="BF15" s="14"/>
      <c r="BG15" s="10"/>
      <c r="BH15" s="14"/>
      <c r="BI15" s="14"/>
      <c r="BJ15" s="14"/>
      <c r="BK15" s="14"/>
      <c r="BL15" s="14"/>
      <c r="BM15" s="12">
        <f t="shared" si="0"/>
        <v>43.21</v>
      </c>
      <c r="BN15" s="10" t="s">
        <v>39</v>
      </c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1"/>
      <c r="DL15" s="51"/>
      <c r="DM15" s="51"/>
      <c r="DN15" s="51"/>
      <c r="DO15" s="51"/>
      <c r="DP15" s="51"/>
      <c r="DQ15" s="51"/>
      <c r="DR15" s="51"/>
      <c r="DS15" s="51"/>
      <c r="DT15" s="51"/>
      <c r="DU15" s="51"/>
      <c r="DV15" s="51"/>
      <c r="DW15" s="51"/>
      <c r="DX15" s="51"/>
      <c r="DY15" s="51"/>
      <c r="DZ15" s="51"/>
      <c r="EA15" s="51"/>
      <c r="EB15" s="51"/>
      <c r="EC15" s="51"/>
      <c r="ED15" s="51"/>
      <c r="EE15" s="51"/>
      <c r="EF15" s="51"/>
      <c r="EG15" s="51"/>
      <c r="EH15" s="51"/>
      <c r="EI15" s="51"/>
      <c r="EJ15" s="51"/>
      <c r="EK15" s="51"/>
      <c r="EL15" s="51"/>
      <c r="EM15" s="51"/>
      <c r="EN15" s="51"/>
      <c r="EO15" s="51"/>
      <c r="EP15" s="51"/>
      <c r="EQ15" s="51"/>
      <c r="ER15" s="51"/>
      <c r="ES15" s="51"/>
      <c r="ET15" s="51"/>
      <c r="EU15" s="51"/>
      <c r="EV15" s="51"/>
      <c r="EW15" s="51"/>
      <c r="EX15" s="51"/>
      <c r="EY15" s="51"/>
      <c r="EZ15" s="51"/>
      <c r="FA15" s="51"/>
      <c r="FB15" s="51"/>
      <c r="FC15" s="51"/>
      <c r="FD15" s="51"/>
      <c r="FE15" s="51"/>
      <c r="FF15" s="51"/>
      <c r="FG15" s="51"/>
      <c r="FH15" s="51"/>
      <c r="FI15" s="51"/>
      <c r="FJ15" s="51"/>
      <c r="FK15" s="51"/>
      <c r="FL15" s="51"/>
      <c r="FM15" s="51"/>
      <c r="FN15" s="51"/>
      <c r="FO15" s="51"/>
      <c r="FP15" s="51"/>
      <c r="FQ15" s="51"/>
      <c r="FR15" s="51"/>
      <c r="FS15" s="51"/>
      <c r="FT15" s="51"/>
      <c r="FU15" s="51"/>
      <c r="FV15" s="51"/>
      <c r="FW15" s="51"/>
    </row>
    <row r="16" s="77" customFormat="1" spans="1:179">
      <c r="A16" s="14" t="s">
        <v>42</v>
      </c>
      <c r="B16" s="47" t="s">
        <v>43</v>
      </c>
      <c r="C16" s="10"/>
      <c r="D16" s="147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48"/>
      <c r="T16" s="14"/>
      <c r="U16" s="10"/>
      <c r="V16" s="14"/>
      <c r="W16" s="10"/>
      <c r="X16" s="14"/>
      <c r="Y16" s="10"/>
      <c r="Z16" s="14"/>
      <c r="AA16" s="10"/>
      <c r="AB16" s="14"/>
      <c r="AC16" s="10"/>
      <c r="AD16" s="14"/>
      <c r="AE16" s="10"/>
      <c r="AF16" s="14"/>
      <c r="AG16" s="10" t="s">
        <v>127</v>
      </c>
      <c r="AH16" s="14">
        <v>47.58</v>
      </c>
      <c r="AI16" s="10"/>
      <c r="AJ16" s="14"/>
      <c r="AK16" s="10"/>
      <c r="AL16" s="14"/>
      <c r="AM16" s="10"/>
      <c r="AN16" s="14"/>
      <c r="AO16" s="10"/>
      <c r="AP16" s="14"/>
      <c r="AQ16" s="10"/>
      <c r="AR16" s="14"/>
      <c r="AS16" s="10"/>
      <c r="AT16" s="14"/>
      <c r="AU16" s="10"/>
      <c r="AV16" s="14"/>
      <c r="AW16" s="10"/>
      <c r="AX16" s="14"/>
      <c r="AY16" s="10"/>
      <c r="AZ16" s="14"/>
      <c r="BA16" s="10"/>
      <c r="BB16" s="14"/>
      <c r="BC16" s="10"/>
      <c r="BD16" s="14"/>
      <c r="BE16" s="10" t="s">
        <v>83</v>
      </c>
      <c r="BF16" s="14">
        <v>17.62</v>
      </c>
      <c r="BG16" s="10"/>
      <c r="BH16" s="14"/>
      <c r="BI16" s="14"/>
      <c r="BJ16" s="14"/>
      <c r="BK16" s="14"/>
      <c r="BL16" s="14"/>
      <c r="BM16" s="12">
        <f t="shared" si="0"/>
        <v>65.2</v>
      </c>
      <c r="BN16" s="10" t="s">
        <v>43</v>
      </c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1"/>
      <c r="DL16" s="51"/>
      <c r="DM16" s="51"/>
      <c r="DN16" s="51"/>
      <c r="DO16" s="51"/>
      <c r="DP16" s="51"/>
      <c r="DQ16" s="51"/>
      <c r="DR16" s="51"/>
      <c r="DS16" s="51"/>
      <c r="DT16" s="51"/>
      <c r="DU16" s="51"/>
      <c r="DV16" s="51"/>
      <c r="DW16" s="51"/>
      <c r="DX16" s="51"/>
      <c r="DY16" s="51"/>
      <c r="DZ16" s="51"/>
      <c r="EA16" s="51"/>
      <c r="EB16" s="51"/>
      <c r="EC16" s="51"/>
      <c r="ED16" s="51"/>
      <c r="EE16" s="51"/>
      <c r="EF16" s="51"/>
      <c r="EG16" s="51"/>
      <c r="EH16" s="51"/>
      <c r="EI16" s="51"/>
      <c r="EJ16" s="51"/>
      <c r="EK16" s="51"/>
      <c r="EL16" s="51"/>
      <c r="EM16" s="51"/>
      <c r="EN16" s="51"/>
      <c r="EO16" s="51"/>
      <c r="EP16" s="51"/>
      <c r="EQ16" s="51"/>
      <c r="ER16" s="51"/>
      <c r="ES16" s="51"/>
      <c r="ET16" s="51"/>
      <c r="EU16" s="51"/>
      <c r="EV16" s="51"/>
      <c r="EW16" s="51"/>
      <c r="EX16" s="51"/>
      <c r="EY16" s="51"/>
      <c r="EZ16" s="51"/>
      <c r="FA16" s="51"/>
      <c r="FB16" s="51"/>
      <c r="FC16" s="51"/>
      <c r="FD16" s="51"/>
      <c r="FE16" s="51"/>
      <c r="FF16" s="51"/>
      <c r="FG16" s="51"/>
      <c r="FH16" s="51"/>
      <c r="FI16" s="51"/>
      <c r="FJ16" s="51"/>
      <c r="FK16" s="51"/>
      <c r="FL16" s="51"/>
      <c r="FM16" s="51"/>
      <c r="FN16" s="51"/>
      <c r="FO16" s="51"/>
      <c r="FP16" s="51"/>
      <c r="FQ16" s="51"/>
      <c r="FR16" s="51"/>
      <c r="FS16" s="51"/>
      <c r="FT16" s="51"/>
      <c r="FU16" s="51"/>
      <c r="FV16" s="51"/>
      <c r="FW16" s="51"/>
    </row>
    <row r="17" s="77" customFormat="1" spans="1:179">
      <c r="A17" s="14" t="s">
        <v>45</v>
      </c>
      <c r="B17" s="14" t="s">
        <v>46</v>
      </c>
      <c r="C17" s="130"/>
      <c r="D17" s="151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65"/>
      <c r="T17" s="4"/>
      <c r="U17" s="130"/>
      <c r="V17" s="4"/>
      <c r="W17" s="130"/>
      <c r="X17" s="4"/>
      <c r="Y17" s="130"/>
      <c r="Z17" s="4"/>
      <c r="AA17" s="130"/>
      <c r="AB17" s="4"/>
      <c r="AC17" s="130"/>
      <c r="AD17" s="4"/>
      <c r="AE17" s="130"/>
      <c r="AF17" s="4"/>
      <c r="AG17" s="130"/>
      <c r="AH17" s="4"/>
      <c r="AI17" s="130"/>
      <c r="AJ17" s="4"/>
      <c r="AK17" s="130"/>
      <c r="AL17" s="4"/>
      <c r="AM17" s="130"/>
      <c r="AN17" s="4"/>
      <c r="AO17" s="130"/>
      <c r="AP17" s="4"/>
      <c r="AQ17" s="130"/>
      <c r="AR17" s="4"/>
      <c r="AS17" s="130"/>
      <c r="AT17" s="4"/>
      <c r="AU17" s="130"/>
      <c r="AV17" s="4"/>
      <c r="AW17" s="130"/>
      <c r="AX17" s="4"/>
      <c r="AY17" s="130"/>
      <c r="AZ17" s="4"/>
      <c r="BA17" s="130"/>
      <c r="BB17" s="4"/>
      <c r="BC17" s="130"/>
      <c r="BD17" s="4"/>
      <c r="BE17" s="130"/>
      <c r="BF17" s="4"/>
      <c r="BG17" s="130"/>
      <c r="BH17" s="4"/>
      <c r="BI17" s="4"/>
      <c r="BJ17" s="4"/>
      <c r="BK17" s="4"/>
      <c r="BL17" s="4"/>
      <c r="BM17" s="12">
        <f t="shared" si="0"/>
        <v>0</v>
      </c>
      <c r="BN17" s="10" t="s">
        <v>46</v>
      </c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51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  <c r="DK17" s="51"/>
      <c r="DL17" s="51"/>
      <c r="DM17" s="51"/>
      <c r="DN17" s="51"/>
      <c r="DO17" s="51"/>
      <c r="DP17" s="51"/>
      <c r="DQ17" s="51"/>
      <c r="DR17" s="51"/>
      <c r="DS17" s="51"/>
      <c r="DT17" s="51"/>
      <c r="DU17" s="51"/>
      <c r="DV17" s="51"/>
      <c r="DW17" s="51"/>
      <c r="DX17" s="51"/>
      <c r="DY17" s="51"/>
      <c r="DZ17" s="51"/>
      <c r="EA17" s="51"/>
      <c r="EB17" s="51"/>
      <c r="EC17" s="51"/>
      <c r="ED17" s="51"/>
      <c r="EE17" s="51"/>
      <c r="EF17" s="51"/>
      <c r="EG17" s="51"/>
      <c r="EH17" s="51"/>
      <c r="EI17" s="51"/>
      <c r="EJ17" s="51"/>
      <c r="EK17" s="51"/>
      <c r="EL17" s="51"/>
      <c r="EM17" s="51"/>
      <c r="EN17" s="51"/>
      <c r="EO17" s="51"/>
      <c r="EP17" s="51"/>
      <c r="EQ17" s="51"/>
      <c r="ER17" s="51"/>
      <c r="ES17" s="51"/>
      <c r="ET17" s="51"/>
      <c r="EU17" s="51"/>
      <c r="EV17" s="51"/>
      <c r="EW17" s="51"/>
      <c r="EX17" s="51"/>
      <c r="EY17" s="51"/>
      <c r="EZ17" s="51"/>
      <c r="FA17" s="51"/>
      <c r="FB17" s="51"/>
      <c r="FC17" s="51"/>
      <c r="FD17" s="51"/>
      <c r="FE17" s="51"/>
      <c r="FF17" s="51"/>
      <c r="FG17" s="51"/>
      <c r="FH17" s="51"/>
      <c r="FI17" s="51"/>
      <c r="FJ17" s="51"/>
      <c r="FK17" s="51"/>
      <c r="FL17" s="51"/>
      <c r="FM17" s="51"/>
      <c r="FN17" s="51"/>
      <c r="FO17" s="51"/>
      <c r="FP17" s="51"/>
      <c r="FQ17" s="51"/>
      <c r="FR17" s="51"/>
      <c r="FS17" s="51"/>
      <c r="FT17" s="51"/>
      <c r="FU17" s="51"/>
      <c r="FV17" s="51"/>
      <c r="FW17" s="51"/>
    </row>
    <row r="18" s="77" customFormat="1" ht="17" spans="2:179">
      <c r="B18" s="111" t="s">
        <v>47</v>
      </c>
      <c r="C18" s="130">
        <f>SUM(C3:D16)</f>
        <v>463.29</v>
      </c>
      <c r="D18" s="130"/>
      <c r="E18" s="130">
        <f>SUM(E3:F16)</f>
        <v>320.9</v>
      </c>
      <c r="F18" s="130"/>
      <c r="G18" s="130">
        <f>SUM(G3:H16)</f>
        <v>190.1</v>
      </c>
      <c r="H18" s="130"/>
      <c r="I18" s="130">
        <f>SUM(I3:J16)</f>
        <v>111.3</v>
      </c>
      <c r="J18" s="130"/>
      <c r="K18" s="130">
        <f>SUM(K3:L16)</f>
        <v>241</v>
      </c>
      <c r="L18" s="130"/>
      <c r="M18" s="130">
        <f>SUM(M3:N16)</f>
        <v>154.27</v>
      </c>
      <c r="N18" s="130"/>
      <c r="O18" s="130">
        <f>SUM(O3:P16)</f>
        <v>351.5</v>
      </c>
      <c r="P18" s="130"/>
      <c r="Q18" s="130">
        <f>SUM(Q3:R16)</f>
        <v>33</v>
      </c>
      <c r="R18" s="130"/>
      <c r="S18" s="130">
        <f>SUM(S3:T16)</f>
        <v>50</v>
      </c>
      <c r="T18" s="130"/>
      <c r="U18" s="130">
        <f>SUM(U3:V16)</f>
        <v>24</v>
      </c>
      <c r="V18" s="130"/>
      <c r="W18" s="130">
        <f>SUM(W3:X16)</f>
        <v>46</v>
      </c>
      <c r="X18" s="130"/>
      <c r="Y18" s="130">
        <f>SUM(Y3:Z16)</f>
        <v>39</v>
      </c>
      <c r="Z18" s="130"/>
      <c r="AA18" s="130">
        <f>SUM(AA3:AB16)</f>
        <v>0</v>
      </c>
      <c r="AB18" s="130"/>
      <c r="AC18" s="130">
        <f>SUM(AC3:AD16)</f>
        <v>290</v>
      </c>
      <c r="AD18" s="130"/>
      <c r="AE18" s="130">
        <f>SUM(AE3:AF16)</f>
        <v>19.21</v>
      </c>
      <c r="AF18" s="130"/>
      <c r="AG18" s="130">
        <f>SUM(AG3:AH16)</f>
        <v>53.58</v>
      </c>
      <c r="AH18" s="130"/>
      <c r="AI18" s="130">
        <f>SUM(AI3:AJ16)</f>
        <v>0</v>
      </c>
      <c r="AJ18" s="130"/>
      <c r="AK18" s="130">
        <f>SUM(AK3:AL16)</f>
        <v>115</v>
      </c>
      <c r="AL18" s="130"/>
      <c r="AM18" s="130">
        <f>SUM(AM3:AN16)</f>
        <v>0</v>
      </c>
      <c r="AN18" s="130"/>
      <c r="AO18" s="130">
        <f>SUM(AO3:AP16)</f>
        <v>0</v>
      </c>
      <c r="AP18" s="130"/>
      <c r="AQ18" s="130">
        <f>SUM(AQ3:AR16)</f>
        <v>0</v>
      </c>
      <c r="AR18" s="130"/>
      <c r="AS18" s="130">
        <f>SUM(AS3:AT16)</f>
        <v>0</v>
      </c>
      <c r="AT18" s="130"/>
      <c r="AU18" s="130">
        <f>SUM(AU3:AV16)</f>
        <v>10</v>
      </c>
      <c r="AV18" s="130"/>
      <c r="AW18" s="130">
        <f>SUM(AW3:AX16)</f>
        <v>0</v>
      </c>
      <c r="AX18" s="130"/>
      <c r="AY18" s="130">
        <f>SUM(AY3:AZ16)</f>
        <v>0</v>
      </c>
      <c r="AZ18" s="130"/>
      <c r="BA18" s="130">
        <f>SUM(BA3:BB16)</f>
        <v>0</v>
      </c>
      <c r="BB18" s="130"/>
      <c r="BC18" s="130">
        <f>SUM(BC3:BD16)</f>
        <v>24</v>
      </c>
      <c r="BD18" s="130"/>
      <c r="BE18" s="130">
        <f>SUM(BE3:BF16)</f>
        <v>17.62</v>
      </c>
      <c r="BF18" s="130"/>
      <c r="BG18" s="130">
        <f>SUM(BG3:BH16)</f>
        <v>0</v>
      </c>
      <c r="BH18" s="130"/>
      <c r="BI18" s="130">
        <f>SUM(BI3:BJ16)</f>
        <v>0</v>
      </c>
      <c r="BJ18" s="130"/>
      <c r="BK18" s="130">
        <f>SUM(BK3:BL16)</f>
        <v>6.69</v>
      </c>
      <c r="BL18" s="130"/>
      <c r="BM18" s="12">
        <f t="shared" si="0"/>
        <v>2560.46</v>
      </c>
      <c r="BN18" s="111" t="s">
        <v>47</v>
      </c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  <c r="CT18" s="51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1"/>
      <c r="DG18" s="51"/>
      <c r="DH18" s="51"/>
      <c r="DI18" s="51"/>
      <c r="DJ18" s="51"/>
      <c r="DK18" s="51"/>
      <c r="DL18" s="51"/>
      <c r="DM18" s="51"/>
      <c r="DN18" s="51"/>
      <c r="DO18" s="51"/>
      <c r="DP18" s="51"/>
      <c r="DQ18" s="51"/>
      <c r="DR18" s="51"/>
      <c r="DS18" s="51"/>
      <c r="DT18" s="51"/>
      <c r="DU18" s="51"/>
      <c r="DV18" s="51"/>
      <c r="DW18" s="51"/>
      <c r="DX18" s="51"/>
      <c r="DY18" s="51"/>
      <c r="DZ18" s="51"/>
      <c r="EA18" s="51"/>
      <c r="EB18" s="51"/>
      <c r="EC18" s="51"/>
      <c r="ED18" s="51"/>
      <c r="EE18" s="51"/>
      <c r="EF18" s="51"/>
      <c r="EG18" s="51"/>
      <c r="EH18" s="51"/>
      <c r="EI18" s="51"/>
      <c r="EJ18" s="51"/>
      <c r="EK18" s="51"/>
      <c r="EL18" s="51"/>
      <c r="EM18" s="51"/>
      <c r="EN18" s="51"/>
      <c r="EO18" s="51"/>
      <c r="EP18" s="51"/>
      <c r="EQ18" s="51"/>
      <c r="ER18" s="51"/>
      <c r="ES18" s="51"/>
      <c r="ET18" s="51"/>
      <c r="EU18" s="51"/>
      <c r="EV18" s="51"/>
      <c r="EW18" s="51"/>
      <c r="EX18" s="51"/>
      <c r="EY18" s="51"/>
      <c r="EZ18" s="51"/>
      <c r="FA18" s="51"/>
      <c r="FB18" s="51"/>
      <c r="FC18" s="51"/>
      <c r="FD18" s="51"/>
      <c r="FE18" s="51"/>
      <c r="FF18" s="51"/>
      <c r="FG18" s="51"/>
      <c r="FH18" s="51"/>
      <c r="FI18" s="51"/>
      <c r="FJ18" s="51"/>
      <c r="FK18" s="51"/>
      <c r="FL18" s="51"/>
      <c r="FM18" s="51"/>
      <c r="FN18" s="51"/>
      <c r="FO18" s="51"/>
      <c r="FP18" s="51"/>
      <c r="FQ18" s="51"/>
      <c r="FR18" s="51"/>
      <c r="FS18" s="51"/>
      <c r="FT18" s="51"/>
      <c r="FU18" s="51"/>
      <c r="FV18" s="51"/>
      <c r="FW18" s="51"/>
    </row>
    <row r="19" s="51" customFormat="1" ht="17" spans="1:66">
      <c r="A19" s="14" t="s">
        <v>48</v>
      </c>
      <c r="B19" s="85" t="s">
        <v>49</v>
      </c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10"/>
      <c r="Y19" s="10"/>
      <c r="Z19" s="85"/>
      <c r="AA19" s="85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68"/>
      <c r="BE19" s="68"/>
      <c r="BF19" s="68"/>
      <c r="BG19" s="68"/>
      <c r="BH19" s="68"/>
      <c r="BI19" s="68"/>
      <c r="BJ19" s="68"/>
      <c r="BK19" s="68"/>
      <c r="BL19" s="68"/>
      <c r="BM19" s="12">
        <f t="shared" si="0"/>
        <v>0</v>
      </c>
      <c r="BN19" s="85" t="s">
        <v>49</v>
      </c>
    </row>
    <row r="20" s="51" customFormat="1" ht="17" spans="2:66">
      <c r="B20" s="85" t="s">
        <v>51</v>
      </c>
      <c r="C20" s="10"/>
      <c r="D20" s="10"/>
      <c r="E20" s="116"/>
      <c r="F20" s="117"/>
      <c r="G20" s="68"/>
      <c r="H20" s="68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10"/>
      <c r="Y20" s="10"/>
      <c r="Z20" s="85"/>
      <c r="AA20" s="85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68"/>
      <c r="BE20" s="68"/>
      <c r="BF20" s="68"/>
      <c r="BG20" s="68"/>
      <c r="BH20" s="68"/>
      <c r="BI20" s="68"/>
      <c r="BJ20" s="68"/>
      <c r="BK20" s="68"/>
      <c r="BL20" s="68"/>
      <c r="BM20" s="12">
        <f t="shared" si="0"/>
        <v>0</v>
      </c>
      <c r="BN20" s="85" t="s">
        <v>51</v>
      </c>
    </row>
    <row r="21" s="51" customFormat="1" spans="4:19"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="51" customFormat="1" spans="2:66">
      <c r="B22" s="10" t="s">
        <v>52</v>
      </c>
      <c r="C22" s="10" t="s">
        <v>53</v>
      </c>
      <c r="D22" s="10" t="s">
        <v>55</v>
      </c>
      <c r="E22" s="10" t="s">
        <v>54</v>
      </c>
      <c r="F22" s="52" t="s">
        <v>54</v>
      </c>
      <c r="G22" s="52" t="s">
        <v>128</v>
      </c>
      <c r="H22" s="52" t="s">
        <v>47</v>
      </c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BE22" s="129"/>
      <c r="BF22" s="129"/>
      <c r="BG22" s="129"/>
      <c r="BH22" s="129"/>
      <c r="BI22" s="129"/>
      <c r="BJ22" s="129"/>
      <c r="BK22" s="129"/>
      <c r="BL22" s="129"/>
      <c r="BM22" s="129"/>
      <c r="BN22" s="129"/>
    </row>
    <row r="23" s="51" customFormat="1" spans="2:65">
      <c r="B23" s="2" t="s">
        <v>57</v>
      </c>
      <c r="C23" s="2">
        <v>43952</v>
      </c>
      <c r="D23" s="112">
        <v>43951</v>
      </c>
      <c r="E23" s="2">
        <v>43956</v>
      </c>
      <c r="F23" s="112">
        <v>43957</v>
      </c>
      <c r="G23" s="112">
        <v>43969</v>
      </c>
      <c r="H23" s="52" t="s">
        <v>98</v>
      </c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BD23" s="129"/>
      <c r="BE23" s="129"/>
      <c r="BF23" s="129"/>
      <c r="BG23" s="129"/>
      <c r="BH23" s="129"/>
      <c r="BI23" s="129"/>
      <c r="BJ23" s="129"/>
      <c r="BK23" s="129"/>
      <c r="BL23" s="129"/>
      <c r="BM23" s="129"/>
    </row>
    <row r="24" s="51" customFormat="1" spans="2:65">
      <c r="B24" s="54" t="s">
        <v>60</v>
      </c>
      <c r="C24" s="113">
        <v>622.36</v>
      </c>
      <c r="D24" s="114">
        <v>1000</v>
      </c>
      <c r="E24" s="113">
        <v>500</v>
      </c>
      <c r="F24" s="114">
        <v>600</v>
      </c>
      <c r="G24" s="114">
        <v>600</v>
      </c>
      <c r="H24" s="114">
        <f>SUM(C24:G24)</f>
        <v>3322.36</v>
      </c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BD24" s="129"/>
      <c r="BE24" s="129"/>
      <c r="BF24" s="129"/>
      <c r="BG24" s="129"/>
      <c r="BH24" s="129"/>
      <c r="BI24" s="129"/>
      <c r="BJ24" s="129"/>
      <c r="BK24" s="129"/>
      <c r="BL24" s="129"/>
      <c r="BM24" s="129"/>
    </row>
    <row r="25" s="51" customFormat="1" spans="2:65">
      <c r="B25" s="10" t="s">
        <v>61</v>
      </c>
      <c r="C25" s="10"/>
      <c r="D25" s="10"/>
      <c r="E25" s="10"/>
      <c r="F25" s="10"/>
      <c r="G25" s="10"/>
      <c r="H25" s="10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BD25" s="129"/>
      <c r="BE25" s="129"/>
      <c r="BF25" s="129"/>
      <c r="BG25" s="129"/>
      <c r="BH25" s="129"/>
      <c r="BI25" s="129"/>
      <c r="BJ25" s="129"/>
      <c r="BK25" s="129"/>
      <c r="BL25" s="129"/>
      <c r="BM25" s="129"/>
    </row>
    <row r="26" s="51" customFormat="1" spans="10:23"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</row>
    <row r="27" s="51" customFormat="1" spans="10:27">
      <c r="J27" s="53"/>
      <c r="K27" s="53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</row>
    <row r="28" s="51" customFormat="1" spans="10:27">
      <c r="J28" s="53"/>
      <c r="K28" s="53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</row>
    <row r="29" s="51" customFormat="1" spans="10:27">
      <c r="J29" s="53"/>
      <c r="K29" s="53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</row>
    <row r="30" s="51" customFormat="1" spans="10:27">
      <c r="J30" s="53"/>
      <c r="K30" s="53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</row>
    <row r="31" s="51" customFormat="1" spans="2:27">
      <c r="B31" s="53"/>
      <c r="C31" s="53"/>
      <c r="D31" s="53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</row>
    <row r="32" s="51" customFormat="1" spans="2:4">
      <c r="B32" s="53"/>
      <c r="C32" s="53"/>
      <c r="D32" s="53"/>
    </row>
    <row r="33" s="51" customFormat="1" spans="2:4">
      <c r="B33" s="53"/>
      <c r="C33" s="53"/>
      <c r="D33" s="53"/>
    </row>
    <row r="34" s="51" customFormat="1" spans="2:4">
      <c r="B34" s="53"/>
      <c r="C34" s="53"/>
      <c r="D34" s="53"/>
    </row>
    <row r="35" spans="2:12854">
      <c r="B35"/>
      <c r="C35"/>
      <c r="D35"/>
      <c r="E35"/>
      <c r="F35"/>
      <c r="G35"/>
      <c r="H35"/>
      <c r="RUD35" s="141"/>
      <c r="RZJ35" s="31"/>
    </row>
    <row r="36" spans="2:12854">
      <c r="B36"/>
      <c r="C36"/>
      <c r="D36"/>
      <c r="E36"/>
      <c r="F36"/>
      <c r="G36"/>
      <c r="H36"/>
      <c r="RUD36" s="141"/>
      <c r="RZJ36" s="31"/>
    </row>
    <row r="37" spans="2:12854">
      <c r="B37"/>
      <c r="C37"/>
      <c r="D37"/>
      <c r="E37"/>
      <c r="F37"/>
      <c r="G37"/>
      <c r="H37"/>
      <c r="RUD37" s="141"/>
      <c r="RZJ37" s="31"/>
    </row>
    <row r="38" spans="2:12854">
      <c r="B38"/>
      <c r="C38"/>
      <c r="D38"/>
      <c r="E38"/>
      <c r="F38"/>
      <c r="G38"/>
      <c r="H38"/>
      <c r="RUD38" s="141"/>
      <c r="RZJ38" s="31"/>
    </row>
    <row r="39" spans="2:9">
      <c r="B39" s="53"/>
      <c r="C39" s="53"/>
      <c r="D39" s="53"/>
      <c r="E39" s="53"/>
      <c r="F39" s="53"/>
      <c r="G39" s="53"/>
      <c r="H39" s="53"/>
      <c r="I39" s="53"/>
    </row>
    <row r="40" spans="2:9">
      <c r="B40"/>
      <c r="C40"/>
      <c r="D40"/>
      <c r="E40"/>
      <c r="F40"/>
      <c r="G40"/>
      <c r="H40"/>
      <c r="I40"/>
    </row>
    <row r="41" spans="2:9">
      <c r="B41"/>
      <c r="C41"/>
      <c r="D41"/>
      <c r="E41"/>
      <c r="F41"/>
      <c r="G41"/>
      <c r="H41"/>
      <c r="I41"/>
    </row>
    <row r="42" spans="2:9">
      <c r="B42"/>
      <c r="C42"/>
      <c r="D42"/>
      <c r="E42"/>
      <c r="F42"/>
      <c r="G42"/>
      <c r="H42"/>
      <c r="I42"/>
    </row>
  </sheetData>
  <sheetProtection formatCells="0" insertHyperlinks="0" autoFilter="0"/>
  <mergeCells count="67">
    <mergeCell ref="C1:R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N18"/>
    <mergeCell ref="AO18:AP18"/>
    <mergeCell ref="AQ18:AR18"/>
    <mergeCell ref="AS18:AT18"/>
    <mergeCell ref="AU18:AV18"/>
    <mergeCell ref="AW18:AX18"/>
    <mergeCell ref="AY18:AZ18"/>
    <mergeCell ref="BA18:BB18"/>
    <mergeCell ref="BC18:BD18"/>
    <mergeCell ref="BE18:BF18"/>
    <mergeCell ref="BG18:BH18"/>
    <mergeCell ref="BI18:BJ18"/>
    <mergeCell ref="BK18:BL18"/>
    <mergeCell ref="C25:H25"/>
    <mergeCell ref="A3:A6"/>
    <mergeCell ref="A7:A12"/>
    <mergeCell ref="BM3:BM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L34"/>
  <sheetViews>
    <sheetView zoomScale="83" zoomScaleNormal="83" topLeftCell="AU1" workbookViewId="0">
      <selection activeCell="BJ13" sqref="BJ13"/>
    </sheetView>
  </sheetViews>
  <sheetFormatPr defaultColWidth="9.81730769230769" defaultRowHeight="16.8"/>
  <cols>
    <col min="1" max="1" width="6" style="31" customWidth="1"/>
    <col min="2" max="2" width="20" style="31" customWidth="1"/>
    <col min="3" max="3" width="15.1538461538462" style="31" customWidth="1"/>
    <col min="4" max="4" width="10.3076923076923" style="31" customWidth="1"/>
    <col min="5" max="5" width="12.7692307692308" style="31" customWidth="1"/>
    <col min="6" max="6" width="7.69230769230769" style="31" customWidth="1"/>
    <col min="7" max="7" width="15.1538461538462" style="31" customWidth="1"/>
    <col min="8" max="8" width="6.69230769230769" style="31" customWidth="1"/>
    <col min="9" max="9" width="9.625" style="31" customWidth="1"/>
    <col min="10" max="10" width="7.625" style="31" customWidth="1"/>
    <col min="11" max="11" width="6" style="31" customWidth="1"/>
    <col min="12" max="12" width="6.69230769230769" style="31" customWidth="1"/>
    <col min="13" max="13" width="8.15384615384615" style="31" customWidth="1"/>
    <col min="14" max="14" width="7.69230769230769" style="31" customWidth="1"/>
    <col min="15" max="15" width="13.5384615384615" style="31" customWidth="1"/>
    <col min="16" max="16" width="6.69230769230769" style="31" customWidth="1"/>
    <col min="17" max="18" width="8.875" style="31"/>
    <col min="19" max="19" width="8.15384615384615" style="31" customWidth="1"/>
    <col min="20" max="20" width="6.69230769230769" style="31" customWidth="1"/>
    <col min="21" max="21" width="8.15384615384615" style="31" customWidth="1"/>
    <col min="22" max="22" width="7.69230769230769" style="31" customWidth="1"/>
    <col min="23" max="23" width="6" style="31" customWidth="1"/>
    <col min="24" max="24" width="6.69230769230769" style="31" customWidth="1"/>
    <col min="25" max="25" width="10.3076923076923" style="31" customWidth="1"/>
    <col min="26" max="26" width="7.69230769230769" style="31" customWidth="1"/>
    <col min="27" max="27" width="11.0769230769231" style="31" customWidth="1"/>
    <col min="28" max="28" width="6.69230769230769" style="31" customWidth="1"/>
    <col min="29" max="29" width="8.15384615384615" style="31" customWidth="1"/>
    <col min="30" max="30" width="6.69230769230769" style="31" customWidth="1"/>
    <col min="31" max="31" width="11.9230769230769" style="31" customWidth="1"/>
    <col min="32" max="32" width="6.69230769230769" style="31" customWidth="1"/>
    <col min="33" max="33" width="7.61538461538461" style="31" customWidth="1"/>
    <col min="34" max="34" width="6.69230769230769" style="31" customWidth="1"/>
    <col min="35" max="35" width="14.125" style="31" customWidth="1"/>
    <col min="36" max="36" width="6.625" style="31" customWidth="1"/>
    <col min="37" max="37" width="6" style="31" customWidth="1"/>
    <col min="38" max="38" width="6.69230769230769" style="31" customWidth="1"/>
    <col min="39" max="39" width="14.125" style="31" customWidth="1"/>
    <col min="40" max="40" width="7.625" style="31" customWidth="1"/>
    <col min="41" max="41" width="14.125" style="31" customWidth="1"/>
    <col min="42" max="42" width="7.625" style="31" customWidth="1"/>
    <col min="43" max="43" width="6" style="31" customWidth="1"/>
    <col min="44" max="44" width="6.69230769230769" style="31" customWidth="1"/>
    <col min="45" max="45" width="8.15384615384615" style="31" customWidth="1"/>
    <col min="46" max="46" width="6.69230769230769" style="31" customWidth="1"/>
    <col min="47" max="47" width="9.38461538461539" style="31" customWidth="1"/>
    <col min="48" max="48" width="6.69230769230769" style="31" customWidth="1"/>
    <col min="49" max="49" width="8.15384615384615" style="31" customWidth="1"/>
    <col min="50" max="50" width="6.69230769230769" style="31" customWidth="1"/>
    <col min="51" max="52" width="8.875" style="31"/>
    <col min="53" max="53" width="8.15384615384615" style="31" customWidth="1"/>
    <col min="54" max="54" width="7.69230769230769" style="31" customWidth="1"/>
    <col min="55" max="55" width="12.7692307692308" style="31" customWidth="1"/>
    <col min="56" max="56" width="7.69230769230769" style="31" customWidth="1"/>
    <col min="57" max="57" width="8.15384615384615" style="31" customWidth="1"/>
    <col min="58" max="58" width="6.69230769230769" style="31" customWidth="1"/>
    <col min="59" max="59" width="15.1538461538462" style="31" customWidth="1"/>
    <col min="60" max="60" width="6.69230769230769" style="31" customWidth="1"/>
    <col min="61" max="61" width="14.3846153846154" style="31" customWidth="1"/>
    <col min="62" max="62" width="7.69230769230769" style="31" customWidth="1"/>
    <col min="63" max="63" width="8.15384615384615" style="31" customWidth="1"/>
    <col min="64" max="64" width="10.3076923076923" style="31" customWidth="1"/>
    <col min="65" max="16384" width="8.875" style="31"/>
  </cols>
  <sheetData>
    <row r="1" ht="17.55" spans="15:28">
      <c r="O1" s="136" t="s">
        <v>129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9"/>
    </row>
    <row r="2" spans="1:64">
      <c r="A2" s="1"/>
      <c r="B2" s="100" t="s">
        <v>1</v>
      </c>
      <c r="C2" s="126">
        <v>43983</v>
      </c>
      <c r="D2" s="127"/>
      <c r="E2" s="126">
        <v>43984</v>
      </c>
      <c r="F2" s="127"/>
      <c r="G2" s="126">
        <v>43985</v>
      </c>
      <c r="H2" s="127"/>
      <c r="I2" s="126">
        <v>43986</v>
      </c>
      <c r="J2" s="127"/>
      <c r="K2" s="126">
        <v>43987</v>
      </c>
      <c r="L2" s="127"/>
      <c r="M2" s="126">
        <v>43988</v>
      </c>
      <c r="N2" s="126"/>
      <c r="O2" s="101">
        <v>43989</v>
      </c>
      <c r="P2" s="102"/>
      <c r="Q2" s="115">
        <v>43990</v>
      </c>
      <c r="R2" s="102"/>
      <c r="S2" s="115">
        <v>43991</v>
      </c>
      <c r="T2" s="102"/>
      <c r="U2" s="115">
        <v>43992</v>
      </c>
      <c r="V2" s="102"/>
      <c r="W2" s="115">
        <v>43993</v>
      </c>
      <c r="X2" s="102"/>
      <c r="Y2" s="115">
        <v>43994</v>
      </c>
      <c r="Z2" s="102"/>
      <c r="AA2" s="115">
        <v>43995</v>
      </c>
      <c r="AB2" s="102"/>
      <c r="AC2" s="126">
        <v>43996</v>
      </c>
      <c r="AD2" s="127"/>
      <c r="AE2" s="126">
        <v>43997</v>
      </c>
      <c r="AF2" s="127"/>
      <c r="AG2" s="126">
        <v>43998</v>
      </c>
      <c r="AH2" s="127"/>
      <c r="AI2" s="126">
        <v>43999</v>
      </c>
      <c r="AJ2" s="127"/>
      <c r="AK2" s="126">
        <v>44000</v>
      </c>
      <c r="AL2" s="127"/>
      <c r="AM2" s="126">
        <v>44001</v>
      </c>
      <c r="AN2" s="127"/>
      <c r="AO2" s="126">
        <v>44002</v>
      </c>
      <c r="AP2" s="127"/>
      <c r="AQ2" s="126">
        <v>44003</v>
      </c>
      <c r="AR2" s="127"/>
      <c r="AS2" s="126">
        <v>44004</v>
      </c>
      <c r="AT2" s="127"/>
      <c r="AU2" s="126">
        <v>44005</v>
      </c>
      <c r="AV2" s="127"/>
      <c r="AW2" s="126">
        <v>44006</v>
      </c>
      <c r="AX2" s="127"/>
      <c r="AY2" s="126">
        <v>44007</v>
      </c>
      <c r="AZ2" s="127"/>
      <c r="BA2" s="126">
        <v>44008</v>
      </c>
      <c r="BB2" s="127"/>
      <c r="BC2" s="126">
        <v>44009</v>
      </c>
      <c r="BD2" s="127"/>
      <c r="BE2" s="126">
        <v>44010</v>
      </c>
      <c r="BF2" s="127"/>
      <c r="BG2" s="126">
        <v>44011</v>
      </c>
      <c r="BH2" s="127"/>
      <c r="BI2" s="126">
        <v>44012</v>
      </c>
      <c r="BJ2" s="127"/>
      <c r="BK2" s="135" t="s">
        <v>3</v>
      </c>
      <c r="BL2" s="100" t="s">
        <v>1</v>
      </c>
    </row>
    <row r="3" spans="1:64">
      <c r="A3" s="9" t="s">
        <v>4</v>
      </c>
      <c r="B3" s="103" t="s">
        <v>5</v>
      </c>
      <c r="C3" s="51"/>
      <c r="D3" s="63"/>
      <c r="E3" s="66"/>
      <c r="F3" s="67"/>
      <c r="G3" s="51"/>
      <c r="H3" s="63"/>
      <c r="I3" s="9"/>
      <c r="J3" s="63"/>
      <c r="K3" s="9"/>
      <c r="L3" s="63"/>
      <c r="M3" s="9"/>
      <c r="N3" s="51"/>
      <c r="O3" s="9"/>
      <c r="P3" s="63"/>
      <c r="Q3" s="9"/>
      <c r="R3" s="63"/>
      <c r="S3" s="9"/>
      <c r="T3" s="63"/>
      <c r="U3" s="9"/>
      <c r="V3" s="63"/>
      <c r="W3" s="9"/>
      <c r="X3" s="63"/>
      <c r="Y3" s="9"/>
      <c r="Z3" s="63"/>
      <c r="AA3" s="9"/>
      <c r="AB3" s="63"/>
      <c r="AC3" s="51"/>
      <c r="AD3" s="63"/>
      <c r="AE3" s="9"/>
      <c r="AF3" s="63"/>
      <c r="AG3" s="9"/>
      <c r="AH3" s="63"/>
      <c r="AI3" s="9"/>
      <c r="AJ3" s="63"/>
      <c r="AK3" s="9"/>
      <c r="AL3" s="63"/>
      <c r="AM3" s="9"/>
      <c r="AN3" s="63"/>
      <c r="AO3" s="9"/>
      <c r="AP3" s="63"/>
      <c r="AQ3" s="9"/>
      <c r="AR3" s="63"/>
      <c r="AS3" s="9"/>
      <c r="AT3" s="63"/>
      <c r="AU3" s="9"/>
      <c r="AV3" s="63"/>
      <c r="AW3" s="9"/>
      <c r="AX3" s="63"/>
      <c r="AY3" s="9"/>
      <c r="AZ3" s="63"/>
      <c r="BA3" s="9"/>
      <c r="BB3" s="63"/>
      <c r="BC3" s="9"/>
      <c r="BD3" s="63"/>
      <c r="BE3" s="9"/>
      <c r="BF3" s="63"/>
      <c r="BG3" s="9"/>
      <c r="BH3" s="63"/>
      <c r="BI3" s="63"/>
      <c r="BJ3" s="63"/>
      <c r="BK3" s="7">
        <f>SUM(C3:BJ6)</f>
        <v>150.46</v>
      </c>
      <c r="BL3" s="103" t="s">
        <v>5</v>
      </c>
    </row>
    <row r="4" spans="1:64">
      <c r="A4" s="9"/>
      <c r="B4" s="103" t="s">
        <v>6</v>
      </c>
      <c r="C4" s="51"/>
      <c r="D4" s="63"/>
      <c r="E4" s="51"/>
      <c r="F4" s="63"/>
      <c r="G4" s="51"/>
      <c r="H4" s="63"/>
      <c r="I4" s="9"/>
      <c r="J4" s="63"/>
      <c r="K4" s="9"/>
      <c r="L4" s="63"/>
      <c r="M4" s="9"/>
      <c r="N4" s="51"/>
      <c r="O4" s="9"/>
      <c r="P4" s="63"/>
      <c r="Q4" s="9"/>
      <c r="R4" s="63"/>
      <c r="S4" s="9"/>
      <c r="T4" s="63"/>
      <c r="U4" s="9"/>
      <c r="V4" s="63"/>
      <c r="W4" s="9"/>
      <c r="X4" s="63"/>
      <c r="Y4" s="9"/>
      <c r="Z4" s="63"/>
      <c r="AA4" s="9"/>
      <c r="AB4" s="63"/>
      <c r="AC4" s="51"/>
      <c r="AD4" s="63"/>
      <c r="AE4" s="9"/>
      <c r="AF4" s="63"/>
      <c r="AG4" s="9"/>
      <c r="AH4" s="63"/>
      <c r="AI4" s="9"/>
      <c r="AJ4" s="63"/>
      <c r="AK4" s="9"/>
      <c r="AL4" s="63"/>
      <c r="AM4" s="9"/>
      <c r="AN4" s="63"/>
      <c r="AO4" s="9"/>
      <c r="AP4" s="63"/>
      <c r="AQ4" s="9"/>
      <c r="AR4" s="63"/>
      <c r="AS4" s="9"/>
      <c r="AT4" s="63"/>
      <c r="AU4" s="9"/>
      <c r="AV4" s="63"/>
      <c r="AW4" s="9"/>
      <c r="AX4" s="63"/>
      <c r="AY4" s="9"/>
      <c r="AZ4" s="63"/>
      <c r="BA4" s="9"/>
      <c r="BB4" s="63"/>
      <c r="BC4" s="9"/>
      <c r="BD4" s="63"/>
      <c r="BE4" s="9"/>
      <c r="BF4" s="63"/>
      <c r="BG4" s="9"/>
      <c r="BH4" s="63"/>
      <c r="BI4" s="63"/>
      <c r="BJ4" s="63"/>
      <c r="BK4" s="7"/>
      <c r="BL4" s="103" t="s">
        <v>6</v>
      </c>
    </row>
    <row r="5" spans="1:64">
      <c r="A5" s="9"/>
      <c r="B5" s="103" t="s">
        <v>7</v>
      </c>
      <c r="C5" s="51"/>
      <c r="D5" s="51"/>
      <c r="E5" s="9"/>
      <c r="F5" s="51"/>
      <c r="G5" s="9"/>
      <c r="H5" s="63"/>
      <c r="I5" s="9"/>
      <c r="J5" s="63"/>
      <c r="K5" s="9"/>
      <c r="L5" s="63"/>
      <c r="M5" s="9"/>
      <c r="N5" s="51"/>
      <c r="O5" s="9"/>
      <c r="P5" s="63"/>
      <c r="Q5" s="9"/>
      <c r="R5" s="63"/>
      <c r="S5" s="9"/>
      <c r="T5" s="63"/>
      <c r="U5" s="9"/>
      <c r="V5" s="63"/>
      <c r="W5" s="9"/>
      <c r="X5" s="63"/>
      <c r="Y5" s="9"/>
      <c r="Z5" s="63"/>
      <c r="AA5" s="9"/>
      <c r="AB5" s="63"/>
      <c r="AC5" s="51"/>
      <c r="AD5" s="63"/>
      <c r="AE5" s="9"/>
      <c r="AF5" s="63"/>
      <c r="AG5" s="9"/>
      <c r="AH5" s="63"/>
      <c r="AI5" s="9"/>
      <c r="AJ5" s="63"/>
      <c r="AK5" s="9"/>
      <c r="AL5" s="63"/>
      <c r="AM5" s="9"/>
      <c r="AN5" s="63"/>
      <c r="AO5" s="9"/>
      <c r="AP5" s="63"/>
      <c r="AQ5" s="9"/>
      <c r="AR5" s="63"/>
      <c r="AS5" s="9"/>
      <c r="AT5" s="63"/>
      <c r="AU5" s="9"/>
      <c r="AV5" s="63"/>
      <c r="AW5" s="9"/>
      <c r="AX5" s="63"/>
      <c r="AY5" s="9"/>
      <c r="AZ5" s="63"/>
      <c r="BA5" s="9"/>
      <c r="BB5" s="63"/>
      <c r="BC5" s="9"/>
      <c r="BD5" s="63"/>
      <c r="BE5" s="9"/>
      <c r="BF5" s="63"/>
      <c r="BG5" s="9"/>
      <c r="BH5" s="63">
        <v>32</v>
      </c>
      <c r="BI5" s="63"/>
      <c r="BJ5" s="63"/>
      <c r="BK5" s="7"/>
      <c r="BL5" s="103" t="s">
        <v>7</v>
      </c>
    </row>
    <row r="6" spans="1:64">
      <c r="A6" s="4"/>
      <c r="B6" s="104" t="s">
        <v>8</v>
      </c>
      <c r="C6" s="64"/>
      <c r="D6" s="64"/>
      <c r="E6" s="4"/>
      <c r="F6" s="64"/>
      <c r="G6" s="4" t="s">
        <v>130</v>
      </c>
      <c r="H6" s="65">
        <v>13</v>
      </c>
      <c r="I6" s="4"/>
      <c r="J6" s="65"/>
      <c r="K6" s="4"/>
      <c r="L6" s="65"/>
      <c r="M6" s="4"/>
      <c r="N6" s="64"/>
      <c r="O6" s="4"/>
      <c r="P6" s="65"/>
      <c r="Q6" s="4"/>
      <c r="R6" s="65"/>
      <c r="S6" s="4" t="s">
        <v>105</v>
      </c>
      <c r="T6" s="65">
        <v>11</v>
      </c>
      <c r="U6" s="4"/>
      <c r="V6" s="65"/>
      <c r="W6" s="4" t="s">
        <v>131</v>
      </c>
      <c r="X6" s="65">
        <v>27</v>
      </c>
      <c r="Y6" s="4"/>
      <c r="Z6" s="65"/>
      <c r="AA6" s="4"/>
      <c r="AB6" s="65"/>
      <c r="AC6" s="64"/>
      <c r="AD6" s="65"/>
      <c r="AE6" s="4"/>
      <c r="AF6" s="65"/>
      <c r="AG6" s="4"/>
      <c r="AH6" s="65"/>
      <c r="AI6" s="4"/>
      <c r="AJ6" s="65"/>
      <c r="AK6" s="4" t="s">
        <v>105</v>
      </c>
      <c r="AL6" s="65">
        <v>31.46</v>
      </c>
      <c r="AM6" s="4"/>
      <c r="AN6" s="65"/>
      <c r="AO6" s="4"/>
      <c r="AP6" s="65"/>
      <c r="AQ6" s="4"/>
      <c r="AR6" s="65"/>
      <c r="AS6" s="4"/>
      <c r="AT6" s="65"/>
      <c r="AU6" s="4"/>
      <c r="AV6" s="65"/>
      <c r="AW6" s="4"/>
      <c r="AX6" s="65"/>
      <c r="AY6" s="4"/>
      <c r="AZ6" s="65"/>
      <c r="BA6" s="4"/>
      <c r="BB6" s="65"/>
      <c r="BC6" s="4"/>
      <c r="BD6" s="65"/>
      <c r="BE6" s="4"/>
      <c r="BF6" s="65"/>
      <c r="BG6" s="4"/>
      <c r="BH6" s="65"/>
      <c r="BI6" s="65" t="s">
        <v>132</v>
      </c>
      <c r="BJ6" s="65">
        <v>36</v>
      </c>
      <c r="BK6" s="7"/>
      <c r="BL6" s="104" t="s">
        <v>8</v>
      </c>
    </row>
    <row r="7" spans="1:64">
      <c r="A7" s="8" t="s">
        <v>10</v>
      </c>
      <c r="B7" s="105" t="s">
        <v>11</v>
      </c>
      <c r="C7" s="51"/>
      <c r="D7" s="63"/>
      <c r="E7" s="66"/>
      <c r="F7" s="66"/>
      <c r="G7" s="8"/>
      <c r="H7" s="67"/>
      <c r="I7" s="8"/>
      <c r="J7" s="67"/>
      <c r="K7" s="8"/>
      <c r="L7" s="67"/>
      <c r="M7" s="8"/>
      <c r="N7" s="66"/>
      <c r="O7" s="8"/>
      <c r="P7" s="67"/>
      <c r="Q7" s="8"/>
      <c r="R7" s="67"/>
      <c r="S7" s="8"/>
      <c r="T7" s="67"/>
      <c r="U7" s="8"/>
      <c r="V7" s="67"/>
      <c r="W7" s="8"/>
      <c r="X7" s="67">
        <v>34.5</v>
      </c>
      <c r="Y7" s="8"/>
      <c r="Z7" s="67"/>
      <c r="AA7" s="8"/>
      <c r="AB7" s="67"/>
      <c r="AC7" s="66"/>
      <c r="AD7" s="67"/>
      <c r="AE7" s="8"/>
      <c r="AF7" s="67"/>
      <c r="AG7" s="8"/>
      <c r="AH7" s="67"/>
      <c r="AI7" s="8"/>
      <c r="AJ7" s="67"/>
      <c r="AK7" s="8"/>
      <c r="AL7" s="67"/>
      <c r="AM7" s="8"/>
      <c r="AN7" s="67"/>
      <c r="AO7" s="8"/>
      <c r="AP7" s="67"/>
      <c r="AQ7" s="8"/>
      <c r="AR7" s="67"/>
      <c r="AS7" s="8"/>
      <c r="AT7" s="67"/>
      <c r="AU7" s="8"/>
      <c r="AV7" s="67"/>
      <c r="AW7" s="8"/>
      <c r="AX7" s="67"/>
      <c r="AY7" s="8"/>
      <c r="AZ7" s="67"/>
      <c r="BA7" s="8"/>
      <c r="BB7" s="67"/>
      <c r="BC7" s="8"/>
      <c r="BD7" s="67"/>
      <c r="BE7" s="8"/>
      <c r="BF7" s="67"/>
      <c r="BG7" s="8"/>
      <c r="BH7" s="67"/>
      <c r="BI7" s="66"/>
      <c r="BJ7" s="66"/>
      <c r="BK7" s="12">
        <f>SUM(C7:BJ7)</f>
        <v>34.5</v>
      </c>
      <c r="BL7" s="105" t="s">
        <v>11</v>
      </c>
    </row>
    <row r="8" spans="1:64">
      <c r="A8" s="9"/>
      <c r="B8" s="105" t="s">
        <v>15</v>
      </c>
      <c r="C8" s="51" t="s">
        <v>133</v>
      </c>
      <c r="D8" s="63">
        <v>100</v>
      </c>
      <c r="E8" s="51"/>
      <c r="F8" s="51"/>
      <c r="G8" s="9"/>
      <c r="H8" s="63"/>
      <c r="I8" s="9"/>
      <c r="J8" s="63"/>
      <c r="K8" s="9"/>
      <c r="L8" s="63"/>
      <c r="M8" s="9"/>
      <c r="N8" s="51"/>
      <c r="O8" s="9"/>
      <c r="P8" s="63"/>
      <c r="Q8" s="9"/>
      <c r="R8" s="63"/>
      <c r="S8" s="9"/>
      <c r="T8" s="63"/>
      <c r="U8" s="9"/>
      <c r="V8" s="63"/>
      <c r="W8" s="9"/>
      <c r="X8" s="63"/>
      <c r="Y8" s="9"/>
      <c r="Z8" s="63"/>
      <c r="AA8" s="9"/>
      <c r="AB8" s="63"/>
      <c r="AC8" s="51"/>
      <c r="AD8" s="63"/>
      <c r="AE8" s="9"/>
      <c r="AF8" s="63"/>
      <c r="AG8" s="9"/>
      <c r="AH8" s="63"/>
      <c r="AI8" s="9"/>
      <c r="AJ8" s="63"/>
      <c r="AK8" s="9"/>
      <c r="AL8" s="63"/>
      <c r="AM8" s="9"/>
      <c r="AN8" s="63"/>
      <c r="AO8" s="9"/>
      <c r="AP8" s="63"/>
      <c r="AQ8" s="9"/>
      <c r="AR8" s="63"/>
      <c r="AS8" s="9"/>
      <c r="AT8" s="63"/>
      <c r="AU8" s="9"/>
      <c r="AV8" s="63"/>
      <c r="AW8" s="9"/>
      <c r="AX8" s="63"/>
      <c r="AY8" s="9"/>
      <c r="AZ8" s="63"/>
      <c r="BA8" s="9"/>
      <c r="BB8" s="63"/>
      <c r="BC8" s="9" t="s">
        <v>134</v>
      </c>
      <c r="BD8" s="63">
        <v>200</v>
      </c>
      <c r="BE8" s="9"/>
      <c r="BF8" s="63"/>
      <c r="BG8" s="9"/>
      <c r="BH8" s="63"/>
      <c r="BI8" s="51"/>
      <c r="BJ8" s="51"/>
      <c r="BK8" s="12">
        <f>SUM(C8:BJ8)</f>
        <v>300</v>
      </c>
      <c r="BL8" s="105" t="s">
        <v>15</v>
      </c>
    </row>
    <row r="9" spans="1:64">
      <c r="A9" s="9"/>
      <c r="B9" s="106" t="s">
        <v>16</v>
      </c>
      <c r="C9" s="51"/>
      <c r="D9" s="63"/>
      <c r="E9" s="51"/>
      <c r="F9" s="51"/>
      <c r="G9" s="9"/>
      <c r="H9" s="63"/>
      <c r="I9" s="9"/>
      <c r="J9" s="63"/>
      <c r="K9" s="9"/>
      <c r="L9" s="63"/>
      <c r="M9" s="9"/>
      <c r="N9" s="51"/>
      <c r="O9" s="9" t="s">
        <v>135</v>
      </c>
      <c r="P9" s="63">
        <v>32</v>
      </c>
      <c r="Q9" s="9"/>
      <c r="R9" s="63"/>
      <c r="S9" s="9"/>
      <c r="T9" s="63"/>
      <c r="U9" s="9"/>
      <c r="V9" s="63"/>
      <c r="W9" s="9"/>
      <c r="X9" s="63"/>
      <c r="Y9" s="9"/>
      <c r="Z9" s="63"/>
      <c r="AA9" s="9" t="s">
        <v>136</v>
      </c>
      <c r="AB9" s="63">
        <v>35.44</v>
      </c>
      <c r="AC9" s="51"/>
      <c r="AD9" s="63"/>
      <c r="AE9" s="9"/>
      <c r="AF9" s="63"/>
      <c r="AG9" s="9"/>
      <c r="AH9" s="63"/>
      <c r="AI9" s="9"/>
      <c r="AJ9" s="63"/>
      <c r="AK9" s="9"/>
      <c r="AL9" s="63"/>
      <c r="AM9" s="9"/>
      <c r="AN9" s="63"/>
      <c r="AO9" s="9"/>
      <c r="AP9" s="63"/>
      <c r="AQ9" s="9"/>
      <c r="AR9" s="63"/>
      <c r="AS9" s="9"/>
      <c r="AT9" s="63"/>
      <c r="AU9" s="9"/>
      <c r="AV9" s="63"/>
      <c r="AW9" s="9"/>
      <c r="AX9" s="63"/>
      <c r="AY9" s="9"/>
      <c r="AZ9" s="63"/>
      <c r="BA9" s="9" t="s">
        <v>137</v>
      </c>
      <c r="BB9" s="63">
        <f>140+10</f>
        <v>150</v>
      </c>
      <c r="BC9" s="9"/>
      <c r="BD9" s="63"/>
      <c r="BE9" s="9"/>
      <c r="BF9" s="63"/>
      <c r="BG9" s="9"/>
      <c r="BH9" s="63"/>
      <c r="BI9" s="51"/>
      <c r="BJ9" s="51"/>
      <c r="BK9" s="12">
        <f t="shared" ref="BK9:BK20" si="0">SUM(C9:BJ9)</f>
        <v>217.44</v>
      </c>
      <c r="BL9" s="106" t="s">
        <v>16</v>
      </c>
    </row>
    <row r="10" spans="1:64">
      <c r="A10" s="9"/>
      <c r="B10" s="107" t="s">
        <v>21</v>
      </c>
      <c r="C10" s="51"/>
      <c r="D10" s="63"/>
      <c r="E10" s="51"/>
      <c r="F10" s="51"/>
      <c r="G10" s="9"/>
      <c r="H10" s="63"/>
      <c r="I10" s="51"/>
      <c r="J10" s="51"/>
      <c r="K10" s="9"/>
      <c r="L10" s="63"/>
      <c r="M10" s="9"/>
      <c r="N10" s="51"/>
      <c r="O10" s="9"/>
      <c r="P10" s="63"/>
      <c r="Q10" s="9"/>
      <c r="R10" s="63"/>
      <c r="S10" s="9"/>
      <c r="T10" s="63"/>
      <c r="U10" s="9"/>
      <c r="V10" s="63"/>
      <c r="W10" s="9"/>
      <c r="X10" s="63"/>
      <c r="Y10" s="9"/>
      <c r="Z10" s="63"/>
      <c r="AA10" s="9" t="s">
        <v>79</v>
      </c>
      <c r="AB10" s="63">
        <v>6</v>
      </c>
      <c r="AC10" s="51"/>
      <c r="AD10" s="63"/>
      <c r="AE10" s="9"/>
      <c r="AF10" s="63"/>
      <c r="AG10" s="9" t="s">
        <v>66</v>
      </c>
      <c r="AH10" s="63">
        <v>6</v>
      </c>
      <c r="AI10" s="9"/>
      <c r="AJ10" s="63"/>
      <c r="AK10" s="9" t="s">
        <v>138</v>
      </c>
      <c r="AL10" s="63">
        <v>19</v>
      </c>
      <c r="AM10" s="9"/>
      <c r="AN10" s="63"/>
      <c r="AO10" s="9"/>
      <c r="AP10" s="63"/>
      <c r="AQ10" s="9"/>
      <c r="AR10" s="63"/>
      <c r="AS10" s="9"/>
      <c r="AT10" s="63"/>
      <c r="AU10" s="9" t="s">
        <v>139</v>
      </c>
      <c r="AV10" s="63">
        <v>25</v>
      </c>
      <c r="AW10" s="9"/>
      <c r="AX10" s="63"/>
      <c r="AY10" s="9"/>
      <c r="AZ10" s="63"/>
      <c r="BA10" s="9"/>
      <c r="BB10" s="63"/>
      <c r="BC10" s="9" t="s">
        <v>140</v>
      </c>
      <c r="BD10" s="63">
        <v>6</v>
      </c>
      <c r="BE10" s="9"/>
      <c r="BF10" s="63"/>
      <c r="BG10" s="9" t="s">
        <v>141</v>
      </c>
      <c r="BH10" s="63">
        <v>98</v>
      </c>
      <c r="BI10" s="51"/>
      <c r="BJ10" s="51"/>
      <c r="BK10" s="12">
        <f t="shared" si="0"/>
        <v>160</v>
      </c>
      <c r="BL10" s="107" t="s">
        <v>21</v>
      </c>
    </row>
    <row r="11" spans="1:64">
      <c r="A11" s="9"/>
      <c r="B11" s="107" t="s">
        <v>26</v>
      </c>
      <c r="C11" s="51"/>
      <c r="D11" s="51"/>
      <c r="E11" s="51" t="s">
        <v>142</v>
      </c>
      <c r="F11" s="51">
        <v>265</v>
      </c>
      <c r="G11" s="9" t="s">
        <v>28</v>
      </c>
      <c r="H11" s="63">
        <v>58</v>
      </c>
      <c r="I11" s="9"/>
      <c r="J11" s="63"/>
      <c r="K11" s="9"/>
      <c r="L11" s="63"/>
      <c r="M11" s="9"/>
      <c r="N11" s="51"/>
      <c r="O11" s="9"/>
      <c r="P11" s="63"/>
      <c r="Q11" s="9"/>
      <c r="R11" s="63"/>
      <c r="S11" s="9"/>
      <c r="T11" s="63"/>
      <c r="U11" s="9" t="s">
        <v>143</v>
      </c>
      <c r="V11" s="63">
        <f>141+7.5</f>
        <v>148.5</v>
      </c>
      <c r="W11" s="9"/>
      <c r="X11" s="63"/>
      <c r="Y11" s="9" t="s">
        <v>144</v>
      </c>
      <c r="Z11" s="63">
        <f>200+10</f>
        <v>210</v>
      </c>
      <c r="AA11" s="9"/>
      <c r="AB11" s="63"/>
      <c r="AC11" s="51"/>
      <c r="AD11" s="63"/>
      <c r="AE11" s="9"/>
      <c r="AF11" s="63"/>
      <c r="AG11" s="9"/>
      <c r="AH11" s="63"/>
      <c r="AI11" s="9"/>
      <c r="AJ11" s="63"/>
      <c r="AK11" s="9"/>
      <c r="AL11" s="63"/>
      <c r="AM11" s="9"/>
      <c r="AN11" s="63"/>
      <c r="AO11" s="9"/>
      <c r="AP11" s="63"/>
      <c r="AQ11" s="9"/>
      <c r="AR11" s="63"/>
      <c r="AS11" s="9"/>
      <c r="AT11" s="63"/>
      <c r="AU11" s="9"/>
      <c r="AV11" s="63"/>
      <c r="AW11" s="9"/>
      <c r="AX11" s="63"/>
      <c r="AY11" s="9"/>
      <c r="AZ11" s="63"/>
      <c r="BA11" s="9"/>
      <c r="BB11" s="63"/>
      <c r="BC11" s="9"/>
      <c r="BD11" s="63"/>
      <c r="BE11" s="9"/>
      <c r="BF11" s="63"/>
      <c r="BG11" s="9"/>
      <c r="BH11" s="63"/>
      <c r="BI11" s="51"/>
      <c r="BJ11" s="51"/>
      <c r="BK11" s="12">
        <f t="shared" si="0"/>
        <v>681.5</v>
      </c>
      <c r="BL11" s="107" t="s">
        <v>26</v>
      </c>
    </row>
    <row r="12" spans="1:64">
      <c r="A12" s="9"/>
      <c r="B12" s="107" t="s">
        <v>29</v>
      </c>
      <c r="C12" s="51"/>
      <c r="D12" s="51"/>
      <c r="E12" s="9"/>
      <c r="F12" s="63"/>
      <c r="G12" s="9"/>
      <c r="H12" s="63"/>
      <c r="I12" s="9"/>
      <c r="J12" s="63"/>
      <c r="K12" s="9"/>
      <c r="L12" s="63"/>
      <c r="M12" s="9"/>
      <c r="N12" s="51"/>
      <c r="O12" s="9"/>
      <c r="P12" s="63"/>
      <c r="Q12" s="9"/>
      <c r="R12" s="63"/>
      <c r="S12" s="9"/>
      <c r="T12" s="63"/>
      <c r="U12" s="9"/>
      <c r="V12" s="63"/>
      <c r="W12" s="9"/>
      <c r="X12" s="63"/>
      <c r="Y12" s="9"/>
      <c r="Z12" s="63"/>
      <c r="AA12" s="9"/>
      <c r="AB12" s="63"/>
      <c r="AC12" s="51"/>
      <c r="AD12" s="63"/>
      <c r="AE12" s="9"/>
      <c r="AF12" s="63"/>
      <c r="AG12" s="9"/>
      <c r="AH12" s="63"/>
      <c r="AI12" s="9"/>
      <c r="AJ12" s="63"/>
      <c r="AK12" s="9"/>
      <c r="AL12" s="63"/>
      <c r="AM12" s="9"/>
      <c r="AN12" s="63"/>
      <c r="AO12" s="9"/>
      <c r="AP12" s="63"/>
      <c r="AQ12" s="9"/>
      <c r="AR12" s="63"/>
      <c r="AS12" s="9"/>
      <c r="AT12" s="63"/>
      <c r="AU12" s="9"/>
      <c r="AV12" s="63"/>
      <c r="AW12" s="9"/>
      <c r="AX12" s="63"/>
      <c r="AY12" s="9"/>
      <c r="AZ12" s="63"/>
      <c r="BA12" s="9"/>
      <c r="BB12" s="63"/>
      <c r="BC12" s="9"/>
      <c r="BD12" s="63"/>
      <c r="BE12" s="9"/>
      <c r="BF12" s="63"/>
      <c r="BG12" s="9"/>
      <c r="BH12" s="63"/>
      <c r="BI12" s="51"/>
      <c r="BJ12" s="51"/>
      <c r="BK12" s="12">
        <f t="shared" si="0"/>
        <v>0</v>
      </c>
      <c r="BL12" s="107" t="s">
        <v>29</v>
      </c>
    </row>
    <row r="13" spans="1:64">
      <c r="A13" s="14" t="s">
        <v>30</v>
      </c>
      <c r="B13" s="108" t="s">
        <v>31</v>
      </c>
      <c r="C13" s="77" t="s">
        <v>145</v>
      </c>
      <c r="D13" s="77">
        <v>16</v>
      </c>
      <c r="E13" s="14"/>
      <c r="F13" s="48"/>
      <c r="G13" s="48" t="s">
        <v>146</v>
      </c>
      <c r="H13" s="10">
        <v>19</v>
      </c>
      <c r="I13" s="10"/>
      <c r="J13" s="10"/>
      <c r="K13" s="10" t="s">
        <v>147</v>
      </c>
      <c r="L13" s="14">
        <v>20</v>
      </c>
      <c r="M13" s="20" t="s">
        <v>148</v>
      </c>
      <c r="N13" s="138">
        <v>21</v>
      </c>
      <c r="O13" s="10"/>
      <c r="P13" s="14"/>
      <c r="Q13" s="10"/>
      <c r="R13" s="14"/>
      <c r="S13" s="10"/>
      <c r="T13" s="14"/>
      <c r="U13" s="10"/>
      <c r="V13" s="14"/>
      <c r="W13" s="10"/>
      <c r="X13" s="14"/>
      <c r="Y13" s="10"/>
      <c r="Z13" s="14"/>
      <c r="AA13" s="10"/>
      <c r="AB13" s="10"/>
      <c r="AC13" s="48" t="s">
        <v>149</v>
      </c>
      <c r="AD13" s="14">
        <v>43</v>
      </c>
      <c r="AE13" s="10"/>
      <c r="AF13" s="14"/>
      <c r="AG13" s="10"/>
      <c r="AH13" s="10"/>
      <c r="AI13" s="77"/>
      <c r="AJ13" s="77"/>
      <c r="AK13" s="10"/>
      <c r="AL13" s="14"/>
      <c r="AM13" s="10"/>
      <c r="AN13" s="14"/>
      <c r="AO13" s="10"/>
      <c r="AP13" s="14"/>
      <c r="AQ13" s="10" t="s">
        <v>150</v>
      </c>
      <c r="AR13" s="14">
        <v>10</v>
      </c>
      <c r="AS13" s="10" t="s">
        <v>151</v>
      </c>
      <c r="AT13" s="14">
        <v>1.6</v>
      </c>
      <c r="AU13" s="10"/>
      <c r="AV13" s="14"/>
      <c r="AW13" s="10" t="s">
        <v>32</v>
      </c>
      <c r="AX13" s="14">
        <v>10</v>
      </c>
      <c r="AY13" s="10"/>
      <c r="AZ13" s="14"/>
      <c r="BA13" s="10" t="s">
        <v>32</v>
      </c>
      <c r="BB13" s="14">
        <v>10</v>
      </c>
      <c r="BC13" s="10"/>
      <c r="BD13" s="14"/>
      <c r="BE13" s="10"/>
      <c r="BF13" s="14"/>
      <c r="BG13" s="10"/>
      <c r="BH13" s="14"/>
      <c r="BI13" s="14"/>
      <c r="BJ13" s="14"/>
      <c r="BK13" s="7">
        <f t="shared" si="0"/>
        <v>150.6</v>
      </c>
      <c r="BL13" s="108" t="s">
        <v>31</v>
      </c>
    </row>
    <row r="14" spans="1:64">
      <c r="A14" s="14" t="s">
        <v>35</v>
      </c>
      <c r="B14" s="109" t="s">
        <v>36</v>
      </c>
      <c r="C14" s="77"/>
      <c r="D14" s="77"/>
      <c r="E14" s="14"/>
      <c r="F14" s="48"/>
      <c r="G14" s="48"/>
      <c r="H14" s="10"/>
      <c r="I14" s="10"/>
      <c r="J14" s="10"/>
      <c r="K14" s="10"/>
      <c r="L14" s="14"/>
      <c r="M14" s="10"/>
      <c r="N14" s="14"/>
      <c r="O14" s="10"/>
      <c r="P14" s="14"/>
      <c r="Q14" s="10"/>
      <c r="R14" s="14"/>
      <c r="S14" s="10"/>
      <c r="T14" s="14"/>
      <c r="U14" s="10"/>
      <c r="V14" s="14"/>
      <c r="W14" s="10"/>
      <c r="X14" s="14"/>
      <c r="Y14" s="10"/>
      <c r="Z14" s="14"/>
      <c r="AA14" s="10"/>
      <c r="AB14" s="10"/>
      <c r="AC14" s="48"/>
      <c r="AD14" s="14"/>
      <c r="AE14" s="10"/>
      <c r="AF14" s="14"/>
      <c r="AG14" s="10"/>
      <c r="AH14" s="14"/>
      <c r="AI14" s="77"/>
      <c r="AJ14" s="77"/>
      <c r="AK14" s="10"/>
      <c r="AL14" s="14"/>
      <c r="AM14" s="10"/>
      <c r="AN14" s="14"/>
      <c r="AO14" s="10"/>
      <c r="AP14" s="14"/>
      <c r="AQ14" s="10"/>
      <c r="AR14" s="14"/>
      <c r="AS14" s="10"/>
      <c r="AT14" s="14"/>
      <c r="AU14" s="10"/>
      <c r="AV14" s="14"/>
      <c r="AW14" s="10"/>
      <c r="AX14" s="14"/>
      <c r="AY14" s="10"/>
      <c r="AZ14" s="14"/>
      <c r="BA14" s="10"/>
      <c r="BB14" s="14"/>
      <c r="BC14" s="10"/>
      <c r="BD14" s="14"/>
      <c r="BE14" s="10"/>
      <c r="BF14" s="14"/>
      <c r="BG14" s="10"/>
      <c r="BH14" s="14"/>
      <c r="BI14" s="14"/>
      <c r="BJ14" s="14"/>
      <c r="BK14" s="7">
        <f t="shared" si="0"/>
        <v>0</v>
      </c>
      <c r="BL14" s="109" t="s">
        <v>36</v>
      </c>
    </row>
    <row r="15" spans="1:64">
      <c r="A15" s="14" t="s">
        <v>38</v>
      </c>
      <c r="B15" s="110" t="s">
        <v>39</v>
      </c>
      <c r="C15" s="77" t="s">
        <v>152</v>
      </c>
      <c r="D15" s="77">
        <f>153.45+32.27+23.29+83+295.78+4.9</f>
        <v>592.69</v>
      </c>
      <c r="E15" s="10"/>
      <c r="F15" s="10"/>
      <c r="G15" s="9" t="s">
        <v>153</v>
      </c>
      <c r="H15" s="63">
        <v>38</v>
      </c>
      <c r="I15" s="131"/>
      <c r="J15" s="63"/>
      <c r="K15" s="10"/>
      <c r="L15" s="14"/>
      <c r="M15" s="10" t="s">
        <v>152</v>
      </c>
      <c r="N15" s="14">
        <f>47.94+192.4</f>
        <v>240.34</v>
      </c>
      <c r="O15" s="10"/>
      <c r="P15" s="14"/>
      <c r="Q15" s="10"/>
      <c r="R15" s="14"/>
      <c r="S15" s="10" t="s">
        <v>154</v>
      </c>
      <c r="T15" s="14">
        <v>82</v>
      </c>
      <c r="U15" s="10"/>
      <c r="V15" s="14"/>
      <c r="W15" s="10"/>
      <c r="X15" s="14"/>
      <c r="Y15" s="10"/>
      <c r="Z15" s="14"/>
      <c r="AA15" s="10"/>
      <c r="AB15" s="10"/>
      <c r="AC15" s="48"/>
      <c r="AD15" s="14"/>
      <c r="AE15" s="10" t="s">
        <v>155</v>
      </c>
      <c r="AF15" s="14">
        <f>13.8+12.8</f>
        <v>26.6</v>
      </c>
      <c r="AG15" s="10"/>
      <c r="AH15" s="14"/>
      <c r="AI15" s="10"/>
      <c r="AJ15" s="14"/>
      <c r="AK15" s="10"/>
      <c r="AL15" s="14"/>
      <c r="AM15" s="10"/>
      <c r="AN15" s="14"/>
      <c r="AO15" s="10"/>
      <c r="AP15" s="14"/>
      <c r="AQ15" s="10" t="s">
        <v>152</v>
      </c>
      <c r="AR15" s="14">
        <v>82.37</v>
      </c>
      <c r="AS15" s="10" t="s">
        <v>156</v>
      </c>
      <c r="AT15" s="14">
        <v>30</v>
      </c>
      <c r="AU15" s="10"/>
      <c r="AV15" s="14"/>
      <c r="AW15" s="10"/>
      <c r="AX15" s="14"/>
      <c r="AY15" s="10"/>
      <c r="AZ15" s="14"/>
      <c r="BA15" s="10"/>
      <c r="BB15" s="14"/>
      <c r="BC15" s="10"/>
      <c r="BD15" s="14"/>
      <c r="BE15" s="10" t="s">
        <v>157</v>
      </c>
      <c r="BF15" s="14">
        <v>30.94</v>
      </c>
      <c r="BG15" s="10"/>
      <c r="BH15" s="14"/>
      <c r="BI15" s="14" t="s">
        <v>158</v>
      </c>
      <c r="BJ15" s="14">
        <v>203</v>
      </c>
      <c r="BK15" s="7">
        <f t="shared" si="0"/>
        <v>1325.94</v>
      </c>
      <c r="BL15" s="110" t="s">
        <v>39</v>
      </c>
    </row>
    <row r="16" spans="1:64">
      <c r="A16" s="14" t="s">
        <v>42</v>
      </c>
      <c r="B16" s="108" t="s">
        <v>43</v>
      </c>
      <c r="C16" s="48"/>
      <c r="D16" s="10"/>
      <c r="E16" s="48"/>
      <c r="F16" s="10"/>
      <c r="G16" s="48"/>
      <c r="H16" s="10"/>
      <c r="I16" s="10"/>
      <c r="J16" s="10"/>
      <c r="K16" s="10"/>
      <c r="L16" s="14"/>
      <c r="M16" s="10"/>
      <c r="N16" s="14"/>
      <c r="O16" s="10"/>
      <c r="P16" s="14"/>
      <c r="Q16" s="10"/>
      <c r="R16" s="14"/>
      <c r="S16" s="10" t="s">
        <v>83</v>
      </c>
      <c r="T16" s="14">
        <v>25</v>
      </c>
      <c r="U16" s="10"/>
      <c r="V16" s="14"/>
      <c r="W16" s="10"/>
      <c r="X16" s="14"/>
      <c r="Y16" s="10"/>
      <c r="Z16" s="14"/>
      <c r="AA16" s="10"/>
      <c r="AB16" s="10"/>
      <c r="AC16" s="48"/>
      <c r="AD16" s="14"/>
      <c r="AE16" s="10"/>
      <c r="AF16" s="14"/>
      <c r="AG16" s="10" t="s">
        <v>83</v>
      </c>
      <c r="AH16" s="10">
        <v>45</v>
      </c>
      <c r="AI16" s="10"/>
      <c r="AJ16" s="14"/>
      <c r="AK16" s="10"/>
      <c r="AL16" s="14"/>
      <c r="AM16" s="10"/>
      <c r="AN16" s="14"/>
      <c r="AO16" s="10"/>
      <c r="AP16" s="14"/>
      <c r="AQ16" s="10"/>
      <c r="AR16" s="14"/>
      <c r="AS16" s="10"/>
      <c r="AT16" s="14"/>
      <c r="AU16" s="10"/>
      <c r="AV16" s="14"/>
      <c r="AW16" s="10"/>
      <c r="AX16" s="14"/>
      <c r="AY16" s="10"/>
      <c r="AZ16" s="14"/>
      <c r="BA16" s="10"/>
      <c r="BB16" s="14"/>
      <c r="BC16" s="10"/>
      <c r="BD16" s="14"/>
      <c r="BE16" s="10"/>
      <c r="BF16" s="14"/>
      <c r="BG16" s="10"/>
      <c r="BH16" s="14"/>
      <c r="BI16" s="14" t="s">
        <v>159</v>
      </c>
      <c r="BJ16" s="14">
        <f>50+398</f>
        <v>448</v>
      </c>
      <c r="BK16" s="7">
        <f t="shared" si="0"/>
        <v>518</v>
      </c>
      <c r="BL16" s="108" t="s">
        <v>43</v>
      </c>
    </row>
    <row r="17" spans="1:64">
      <c r="A17" s="14" t="s">
        <v>45</v>
      </c>
      <c r="B17" s="10" t="s">
        <v>46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7">
        <f t="shared" si="0"/>
        <v>0</v>
      </c>
      <c r="BL17" s="10" t="s">
        <v>46</v>
      </c>
    </row>
    <row r="18" ht="17" spans="1:64">
      <c r="A18" s="14"/>
      <c r="B18" s="111" t="s">
        <v>47</v>
      </c>
      <c r="C18" s="14">
        <f>SUM(D3:D16)</f>
        <v>708.69</v>
      </c>
      <c r="D18" s="48"/>
      <c r="E18" s="14">
        <f>SUM(F3:F16)</f>
        <v>265</v>
      </c>
      <c r="F18" s="48"/>
      <c r="G18" s="14">
        <f>SUM(H3:H16)</f>
        <v>128</v>
      </c>
      <c r="H18" s="48"/>
      <c r="I18" s="14">
        <f>SUM(J3:J16)</f>
        <v>0</v>
      </c>
      <c r="J18" s="48"/>
      <c r="K18" s="14">
        <f>SUM(L3:L16)</f>
        <v>20</v>
      </c>
      <c r="L18" s="48"/>
      <c r="M18" s="14">
        <f>SUM(N3:N16)</f>
        <v>261.34</v>
      </c>
      <c r="N18" s="77"/>
      <c r="O18" s="14">
        <f>SUM(P3:P16)</f>
        <v>32</v>
      </c>
      <c r="P18" s="48"/>
      <c r="Q18" s="14">
        <f>SUM(R3:R16)</f>
        <v>0</v>
      </c>
      <c r="R18" s="48"/>
      <c r="S18" s="14">
        <f>SUM(T3:T16)</f>
        <v>118</v>
      </c>
      <c r="T18" s="48"/>
      <c r="U18" s="14">
        <f>SUM(V3:V16)</f>
        <v>148.5</v>
      </c>
      <c r="V18" s="48"/>
      <c r="W18" s="14">
        <f>SUM(X3:X16)</f>
        <v>61.5</v>
      </c>
      <c r="X18" s="48"/>
      <c r="Y18" s="14">
        <f>SUM(Z3:Z16)</f>
        <v>210</v>
      </c>
      <c r="Z18" s="48"/>
      <c r="AA18" s="14">
        <f>SUM(AB3:AB16)</f>
        <v>41.44</v>
      </c>
      <c r="AB18" s="48"/>
      <c r="AC18" s="77">
        <f>SUM(AD3:AD16)</f>
        <v>43</v>
      </c>
      <c r="AD18" s="48"/>
      <c r="AE18" s="14">
        <f>SUM(AF3:AF16)</f>
        <v>26.6</v>
      </c>
      <c r="AF18" s="48"/>
      <c r="AG18" s="14">
        <f>SUM(AH3:AH16)</f>
        <v>51</v>
      </c>
      <c r="AH18" s="48"/>
      <c r="AI18" s="14">
        <f>SUM(AJ3:AJ16)</f>
        <v>0</v>
      </c>
      <c r="AJ18" s="48"/>
      <c r="AK18" s="14">
        <f>SUM(AL3:AL16)</f>
        <v>50.46</v>
      </c>
      <c r="AL18" s="48"/>
      <c r="AM18" s="14">
        <f>SUM(AN3:AN16)</f>
        <v>0</v>
      </c>
      <c r="AN18" s="48"/>
      <c r="AO18" s="14">
        <f>SUM(AP3:AP16)</f>
        <v>0</v>
      </c>
      <c r="AP18" s="48"/>
      <c r="AQ18" s="14">
        <f>SUM(AR3:AR16)</f>
        <v>92.37</v>
      </c>
      <c r="AR18" s="48"/>
      <c r="AS18" s="14">
        <f>SUM(AT3:AT16)</f>
        <v>31.6</v>
      </c>
      <c r="AT18" s="48"/>
      <c r="AU18" s="14">
        <f>SUM(AV3:AV16)</f>
        <v>25</v>
      </c>
      <c r="AV18" s="48"/>
      <c r="AW18" s="14">
        <f>SUM(AX3:AX16)</f>
        <v>10</v>
      </c>
      <c r="AX18" s="48"/>
      <c r="AY18" s="14">
        <f>SUM(AZ3:AZ16)</f>
        <v>0</v>
      </c>
      <c r="AZ18" s="48"/>
      <c r="BA18" s="14">
        <f>SUM(BB3:BB16)</f>
        <v>160</v>
      </c>
      <c r="BB18" s="48"/>
      <c r="BC18" s="14">
        <f>SUM(BD3:BD16)</f>
        <v>206</v>
      </c>
      <c r="BD18" s="48"/>
      <c r="BE18" s="14">
        <f>SUM(BF3:BF16)</f>
        <v>30.94</v>
      </c>
      <c r="BF18" s="48"/>
      <c r="BG18" s="14">
        <f>SUM(BH3:BH16)</f>
        <v>130</v>
      </c>
      <c r="BH18" s="48"/>
      <c r="BI18" s="14">
        <f>SUM(BJ3:BJ16)</f>
        <v>687</v>
      </c>
      <c r="BJ18" s="48"/>
      <c r="BK18" s="7">
        <f t="shared" si="0"/>
        <v>3538.44</v>
      </c>
      <c r="BL18" s="111" t="s">
        <v>47</v>
      </c>
    </row>
    <row r="19" ht="17" spans="1:64">
      <c r="A19" s="14" t="s">
        <v>48</v>
      </c>
      <c r="B19" s="85" t="s">
        <v>49</v>
      </c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10"/>
      <c r="Y19" s="10"/>
      <c r="Z19" s="85"/>
      <c r="AA19" s="85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68"/>
      <c r="BE19" s="68"/>
      <c r="BF19" s="68"/>
      <c r="BG19" s="68"/>
      <c r="BH19" s="68"/>
      <c r="BI19" s="68"/>
      <c r="BJ19" s="68"/>
      <c r="BK19" s="7">
        <f t="shared" si="0"/>
        <v>0</v>
      </c>
      <c r="BL19" s="85" t="s">
        <v>49</v>
      </c>
    </row>
    <row r="20" ht="17" spans="1:64">
      <c r="A20" s="51"/>
      <c r="B20" s="85" t="s">
        <v>51</v>
      </c>
      <c r="C20" s="10"/>
      <c r="D20" s="10"/>
      <c r="E20" s="116"/>
      <c r="F20" s="117"/>
      <c r="G20" s="68"/>
      <c r="H20" s="68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10"/>
      <c r="Y20" s="10"/>
      <c r="Z20" s="85"/>
      <c r="AA20" s="85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68"/>
      <c r="BE20" s="68"/>
      <c r="BF20" s="68"/>
      <c r="BG20" s="68"/>
      <c r="BH20" s="68"/>
      <c r="BI20" s="68"/>
      <c r="BJ20" s="68"/>
      <c r="BK20" s="7">
        <f t="shared" si="0"/>
        <v>0</v>
      </c>
      <c r="BL20" s="85" t="s">
        <v>51</v>
      </c>
    </row>
    <row r="21" spans="1:64">
      <c r="A21" s="51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/>
      <c r="BE21"/>
      <c r="BF21"/>
      <c r="BG21"/>
      <c r="BH21"/>
      <c r="BI21"/>
      <c r="BJ21"/>
      <c r="BK21"/>
      <c r="BL21" s="51"/>
    </row>
    <row r="22" spans="1:64">
      <c r="A22" s="51"/>
      <c r="B22" s="10" t="s">
        <v>52</v>
      </c>
      <c r="C22" s="10" t="s">
        <v>53</v>
      </c>
      <c r="D22" s="10" t="s">
        <v>160</v>
      </c>
      <c r="E22" s="10" t="s">
        <v>161</v>
      </c>
      <c r="F22" s="10" t="s">
        <v>3</v>
      </c>
      <c r="G22" s="52" t="s">
        <v>162</v>
      </c>
      <c r="H22" s="92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/>
      <c r="BE22"/>
      <c r="BF22"/>
      <c r="BG22"/>
      <c r="BH22"/>
      <c r="BI22"/>
      <c r="BJ22"/>
      <c r="BK22"/>
      <c r="BL22" s="51"/>
    </row>
    <row r="23" spans="1:64">
      <c r="A23" s="51"/>
      <c r="B23" s="2" t="s">
        <v>57</v>
      </c>
      <c r="C23" s="2">
        <v>43983</v>
      </c>
      <c r="D23" s="112">
        <v>43983</v>
      </c>
      <c r="E23" s="2">
        <v>43991</v>
      </c>
      <c r="F23" s="20"/>
      <c r="G23" s="52"/>
      <c r="H23" s="92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/>
      <c r="BE23"/>
      <c r="BF23"/>
      <c r="BG23"/>
      <c r="BH23"/>
      <c r="BI23"/>
      <c r="BJ23"/>
      <c r="BK23"/>
      <c r="BL23" s="51"/>
    </row>
    <row r="24" spans="1:64">
      <c r="A24" s="51"/>
      <c r="B24" s="54" t="s">
        <v>60</v>
      </c>
      <c r="C24" s="54">
        <v>841.9</v>
      </c>
      <c r="D24" s="52">
        <v>885</v>
      </c>
      <c r="E24" s="54">
        <v>900</v>
      </c>
      <c r="F24" s="20">
        <f>SUM(C24:E24)</f>
        <v>2626.9</v>
      </c>
      <c r="G24" s="52">
        <f>F24-BK18</f>
        <v>-911.54</v>
      </c>
      <c r="H24" s="92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/>
      <c r="BE24"/>
      <c r="BF24"/>
      <c r="BG24"/>
      <c r="BH24"/>
      <c r="BI24"/>
      <c r="BJ24"/>
      <c r="BK24"/>
      <c r="BL24" s="51"/>
    </row>
    <row r="25" spans="1:64">
      <c r="A25" s="51"/>
      <c r="B25" s="10" t="s">
        <v>61</v>
      </c>
      <c r="C25" s="10"/>
      <c r="D25" s="10"/>
      <c r="E25" s="130"/>
      <c r="F25"/>
      <c r="G25" s="92"/>
      <c r="H25" s="92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</row>
    <row r="26" spans="1:64">
      <c r="A26" s="51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</row>
    <row r="27" spans="1:64">
      <c r="A27" s="51"/>
      <c r="B27"/>
      <c r="C27"/>
      <c r="D27"/>
      <c r="E27"/>
      <c r="F27"/>
      <c r="G27"/>
      <c r="H27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</row>
    <row r="28" spans="1:64">
      <c r="A28" s="51"/>
      <c r="B28"/>
      <c r="C28"/>
      <c r="D28"/>
      <c r="E28"/>
      <c r="F28"/>
      <c r="G28"/>
      <c r="H28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</row>
    <row r="29" spans="1:64">
      <c r="A29" s="51"/>
      <c r="B29"/>
      <c r="C29"/>
      <c r="D29"/>
      <c r="E29"/>
      <c r="F29"/>
      <c r="G29"/>
      <c r="H29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</row>
    <row r="30" spans="1:64">
      <c r="A30" s="51"/>
      <c r="B30" s="53"/>
      <c r="C30" s="53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</row>
    <row r="31" spans="1:64">
      <c r="A31" s="51"/>
      <c r="B31" s="53"/>
      <c r="C31" s="53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</row>
    <row r="32" spans="1:64">
      <c r="A32" s="51"/>
      <c r="B32" s="53"/>
      <c r="C32" s="53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</row>
    <row r="33" spans="1:64">
      <c r="A33" s="51"/>
      <c r="B33" s="53"/>
      <c r="C33" s="53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</row>
    <row r="34" spans="1:64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</row>
  </sheetData>
  <sheetProtection formatCells="0" insertHyperlinks="0" autoFilter="0"/>
  <mergeCells count="65">
    <mergeCell ref="O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N18"/>
    <mergeCell ref="AO18:AP18"/>
    <mergeCell ref="AQ18:AR18"/>
    <mergeCell ref="AS18:AT18"/>
    <mergeCell ref="AU18:AV18"/>
    <mergeCell ref="AW18:AX18"/>
    <mergeCell ref="AY18:AZ18"/>
    <mergeCell ref="BA18:BB18"/>
    <mergeCell ref="BC18:BD18"/>
    <mergeCell ref="BE18:BF18"/>
    <mergeCell ref="BG18:BH18"/>
    <mergeCell ref="BI18:BJ18"/>
    <mergeCell ref="C25:E25"/>
    <mergeCell ref="A3:A6"/>
    <mergeCell ref="A7:A12"/>
    <mergeCell ref="BK3:BK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O34"/>
  <sheetViews>
    <sheetView zoomScale="91" zoomScaleNormal="91" topLeftCell="AS1" workbookViewId="0">
      <pane xSplit="27760" topLeftCell="A1" activePane="topLeft"/>
      <selection activeCell="AO24" sqref="AO24"/>
      <selection pane="topRight"/>
    </sheetView>
  </sheetViews>
  <sheetFormatPr defaultColWidth="9.81730769230769" defaultRowHeight="16.8"/>
  <cols>
    <col min="1" max="1" width="6" style="31" customWidth="1"/>
    <col min="2" max="2" width="20" style="31" customWidth="1"/>
    <col min="3" max="5" width="10.3076923076923" style="31" customWidth="1"/>
    <col min="6" max="11" width="10.9230769230769" style="31" customWidth="1"/>
    <col min="12" max="12" width="8.69230769230769" style="31" customWidth="1"/>
    <col min="13" max="13" width="6" style="31" customWidth="1"/>
    <col min="14" max="14" width="6.69230769230769" style="31" customWidth="1"/>
    <col min="15" max="15" width="6" style="31" customWidth="1"/>
    <col min="16" max="16" width="6.69230769230769" style="31" customWidth="1"/>
    <col min="17" max="17" width="8.15384615384615" style="31" customWidth="1"/>
    <col min="18" max="18" width="7.69230769230769" style="31" customWidth="1"/>
    <col min="19" max="19" width="12.7692307692308" style="31" customWidth="1"/>
    <col min="20" max="20" width="6.69230769230769" style="31" customWidth="1"/>
    <col min="21" max="21" width="8.15384615384615" style="31" customWidth="1"/>
    <col min="22" max="26" width="6.69230769230769" style="31" customWidth="1"/>
    <col min="27" max="27" width="28.1538461538462" style="31" customWidth="1"/>
    <col min="28" max="28" width="7.69230769230769" style="31" customWidth="1"/>
    <col min="29" max="29" width="10.3076923076923" style="31" customWidth="1"/>
    <col min="30" max="30" width="7.69230769230769" style="31" customWidth="1"/>
    <col min="31" max="31" width="8.69230769230769" style="31" customWidth="1"/>
    <col min="32" max="32" width="6.69230769230769" style="31" customWidth="1"/>
    <col min="33" max="33" width="7.61538461538461" style="31" customWidth="1"/>
    <col min="34" max="34" width="5.69230769230769" style="31" customWidth="1"/>
    <col min="35" max="35" width="6" style="31" customWidth="1"/>
    <col min="36" max="36" width="7.69230769230769" style="31" customWidth="1"/>
    <col min="37" max="37" width="28.1538461538462" style="31" customWidth="1"/>
    <col min="38" max="38" width="6.69230769230769" style="31" customWidth="1"/>
    <col min="39" max="39" width="12.7692307692308" style="31" customWidth="1"/>
    <col min="40" max="40" width="7.69230769230769" style="31" customWidth="1"/>
    <col min="41" max="41" width="14.3846153846154" style="31" customWidth="1"/>
    <col min="42" max="42" width="6.69230769230769" style="31" customWidth="1"/>
    <col min="43" max="43" width="21.6153846153846" style="31" customWidth="1"/>
    <col min="44" max="44" width="7.69230769230769" style="31" customWidth="1"/>
    <col min="45" max="45" width="14.3846153846154" style="31" customWidth="1"/>
    <col min="46" max="47" width="7.69230769230769" style="31" customWidth="1"/>
    <col min="48" max="49" width="7.66346153846154" style="31" customWidth="1"/>
    <col min="50" max="50" width="7.375" style="31" customWidth="1"/>
    <col min="51" max="51" width="7.5" style="31" customWidth="1"/>
    <col min="52" max="52" width="14.1153846153846" style="31" customWidth="1"/>
    <col min="53" max="53" width="8.66346153846154" style="31" customWidth="1"/>
    <col min="54" max="54" width="5.66346153846154" style="31" customWidth="1"/>
    <col min="55" max="55" width="7.66346153846154" style="31" customWidth="1"/>
    <col min="56" max="56" width="5.66346153846154" style="31" customWidth="1"/>
    <col min="57" max="57" width="7.66346153846154" style="31" customWidth="1"/>
    <col min="58" max="58" width="9.66346153846154" style="31" customWidth="1"/>
    <col min="59" max="59" width="7.66346153846154" style="31" customWidth="1"/>
    <col min="60" max="60" width="5.66346153846154" style="31" customWidth="1"/>
    <col min="61" max="61" width="8.15384615384615" style="31" customWidth="1"/>
    <col min="62" max="62" width="7.69230769230769" style="31" customWidth="1"/>
    <col min="63" max="63" width="6" style="31" customWidth="1"/>
    <col min="64" max="64" width="7.69230769230769" style="31" customWidth="1"/>
    <col min="65" max="65" width="8.15384615384615" style="31" customWidth="1"/>
    <col min="66" max="66" width="10.3076923076923" style="31" customWidth="1"/>
    <col min="67" max="67" width="7.69230769230769" style="31" customWidth="1"/>
    <col min="68" max="16384" width="8.875" style="31"/>
  </cols>
  <sheetData>
    <row r="1" ht="17.55" spans="27:64">
      <c r="AA1" s="98" t="s">
        <v>163</v>
      </c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124"/>
      <c r="AU1" s="133"/>
      <c r="AV1" s="134"/>
      <c r="BI1" s="98" t="s">
        <v>164</v>
      </c>
      <c r="BJ1" s="99"/>
      <c r="BK1" s="99"/>
      <c r="BL1" s="124"/>
    </row>
    <row r="2" spans="1:66">
      <c r="A2" s="1"/>
      <c r="B2" s="100" t="s">
        <v>1</v>
      </c>
      <c r="C2" s="126">
        <v>44013</v>
      </c>
      <c r="D2" s="127"/>
      <c r="E2" s="126">
        <v>44014</v>
      </c>
      <c r="F2" s="127"/>
      <c r="G2" s="126">
        <v>44015</v>
      </c>
      <c r="H2" s="127"/>
      <c r="I2" s="126">
        <v>44016</v>
      </c>
      <c r="J2" s="127"/>
      <c r="K2" s="126">
        <v>44017</v>
      </c>
      <c r="L2" s="127"/>
      <c r="M2" s="126">
        <v>44018</v>
      </c>
      <c r="N2" s="127"/>
      <c r="O2" s="126">
        <v>44019</v>
      </c>
      <c r="P2" s="127"/>
      <c r="Q2" s="126">
        <v>44020</v>
      </c>
      <c r="R2" s="127"/>
      <c r="S2" s="126">
        <v>44021</v>
      </c>
      <c r="T2" s="127"/>
      <c r="U2" s="126">
        <v>44022</v>
      </c>
      <c r="V2" s="127"/>
      <c r="W2" s="126">
        <v>44023</v>
      </c>
      <c r="X2" s="127"/>
      <c r="Y2" s="126">
        <v>44024</v>
      </c>
      <c r="Z2" s="126"/>
      <c r="AA2" s="101">
        <v>44025</v>
      </c>
      <c r="AB2" s="102"/>
      <c r="AC2" s="115">
        <v>44026</v>
      </c>
      <c r="AD2" s="102"/>
      <c r="AE2" s="115">
        <v>44027</v>
      </c>
      <c r="AF2" s="102"/>
      <c r="AG2" s="115">
        <v>44028</v>
      </c>
      <c r="AH2" s="102"/>
      <c r="AI2" s="115">
        <v>44029</v>
      </c>
      <c r="AJ2" s="102"/>
      <c r="AK2" s="115">
        <v>44030</v>
      </c>
      <c r="AL2" s="102"/>
      <c r="AM2" s="115">
        <v>44031</v>
      </c>
      <c r="AN2" s="102"/>
      <c r="AO2" s="115">
        <v>44032</v>
      </c>
      <c r="AP2" s="102"/>
      <c r="AQ2" s="115">
        <v>44033</v>
      </c>
      <c r="AR2" s="102"/>
      <c r="AS2" s="101">
        <v>44034</v>
      </c>
      <c r="AT2" s="102"/>
      <c r="AU2" s="126">
        <v>44035</v>
      </c>
      <c r="AV2" s="127"/>
      <c r="AW2" s="126">
        <v>44036</v>
      </c>
      <c r="AX2" s="127"/>
      <c r="AY2" s="126">
        <v>44037</v>
      </c>
      <c r="AZ2" s="127"/>
      <c r="BA2" s="126">
        <v>44038</v>
      </c>
      <c r="BB2" s="127"/>
      <c r="BC2" s="126">
        <v>44039</v>
      </c>
      <c r="BD2" s="127"/>
      <c r="BE2" s="126">
        <v>44040</v>
      </c>
      <c r="BF2" s="127"/>
      <c r="BG2" s="126">
        <v>44041</v>
      </c>
      <c r="BH2" s="126"/>
      <c r="BI2" s="101">
        <v>44042</v>
      </c>
      <c r="BJ2" s="102"/>
      <c r="BK2" s="115">
        <v>44043</v>
      </c>
      <c r="BL2" s="102"/>
      <c r="BM2" s="135" t="s">
        <v>3</v>
      </c>
      <c r="BN2" s="100" t="s">
        <v>1</v>
      </c>
    </row>
    <row r="3" spans="1:66">
      <c r="A3" s="9" t="s">
        <v>4</v>
      </c>
      <c r="B3" s="103" t="s">
        <v>5</v>
      </c>
      <c r="C3" s="51"/>
      <c r="D3" s="63"/>
      <c r="E3" s="66"/>
      <c r="F3" s="67"/>
      <c r="G3" s="51"/>
      <c r="H3" s="63">
        <v>17</v>
      </c>
      <c r="I3" s="9"/>
      <c r="J3" s="63"/>
      <c r="K3" s="9"/>
      <c r="L3" s="63"/>
      <c r="M3" s="9"/>
      <c r="N3" s="63"/>
      <c r="O3" s="9"/>
      <c r="P3" s="63"/>
      <c r="Q3" s="9"/>
      <c r="R3" s="63"/>
      <c r="S3" s="9"/>
      <c r="T3" s="63"/>
      <c r="U3" s="9"/>
      <c r="V3" s="63"/>
      <c r="W3" s="9"/>
      <c r="X3" s="63"/>
      <c r="Y3" s="9"/>
      <c r="Z3" s="51"/>
      <c r="AA3" s="8"/>
      <c r="AB3" s="67"/>
      <c r="AC3" s="8"/>
      <c r="AD3" s="67">
        <v>15.5</v>
      </c>
      <c r="AE3" s="8"/>
      <c r="AF3" s="67">
        <v>15</v>
      </c>
      <c r="AG3" s="8"/>
      <c r="AH3" s="67"/>
      <c r="AI3" s="8"/>
      <c r="AJ3" s="67"/>
      <c r="AK3" s="8"/>
      <c r="AL3" s="67"/>
      <c r="AM3" s="8"/>
      <c r="AN3" s="67">
        <v>14</v>
      </c>
      <c r="AO3" s="8"/>
      <c r="AP3" s="67"/>
      <c r="AQ3" s="8"/>
      <c r="AR3" s="67"/>
      <c r="AS3" s="8"/>
      <c r="AT3" s="67"/>
      <c r="AU3" s="51"/>
      <c r="AV3" s="63"/>
      <c r="AW3" s="51"/>
      <c r="AX3" s="63"/>
      <c r="AY3" s="9"/>
      <c r="AZ3" s="63"/>
      <c r="BA3" s="9"/>
      <c r="BB3" s="63"/>
      <c r="BC3" s="9"/>
      <c r="BD3" s="63"/>
      <c r="BE3" s="9"/>
      <c r="BF3" s="63"/>
      <c r="BG3" s="9"/>
      <c r="BH3" s="51"/>
      <c r="BI3" s="131"/>
      <c r="BJ3" s="63"/>
      <c r="BK3" s="63"/>
      <c r="BL3" s="63"/>
      <c r="BM3" s="29">
        <f>SUM(C3:BL6)</f>
        <v>1506.06</v>
      </c>
      <c r="BN3" s="103" t="s">
        <v>5</v>
      </c>
    </row>
    <row r="4" spans="1:66">
      <c r="A4" s="9"/>
      <c r="B4" s="103" t="s">
        <v>6</v>
      </c>
      <c r="C4" s="51"/>
      <c r="D4" s="63">
        <v>12</v>
      </c>
      <c r="E4" s="51"/>
      <c r="F4" s="63"/>
      <c r="G4" s="51"/>
      <c r="H4" s="63"/>
      <c r="I4" s="9"/>
      <c r="J4" s="63">
        <v>8</v>
      </c>
      <c r="K4" s="9"/>
      <c r="L4" s="63">
        <v>10</v>
      </c>
      <c r="M4" s="9"/>
      <c r="N4" s="63">
        <v>33</v>
      </c>
      <c r="O4" s="9"/>
      <c r="P4" s="63">
        <v>70</v>
      </c>
      <c r="Q4" s="9"/>
      <c r="R4" s="63">
        <v>9</v>
      </c>
      <c r="S4" s="9"/>
      <c r="T4" s="63"/>
      <c r="U4" s="9"/>
      <c r="V4" s="63"/>
      <c r="W4" s="9"/>
      <c r="X4" s="63"/>
      <c r="Y4" s="9"/>
      <c r="Z4" s="51">
        <v>63.5</v>
      </c>
      <c r="AA4" s="9"/>
      <c r="AB4" s="63"/>
      <c r="AC4" s="9"/>
      <c r="AD4" s="63"/>
      <c r="AE4" s="9"/>
      <c r="AF4" s="63"/>
      <c r="AG4" s="9"/>
      <c r="AH4" s="63"/>
      <c r="AI4" s="9"/>
      <c r="AJ4" s="63"/>
      <c r="AK4" s="9"/>
      <c r="AL4" s="63">
        <v>41.4</v>
      </c>
      <c r="AM4" s="9"/>
      <c r="AN4" s="63">
        <v>249</v>
      </c>
      <c r="AO4" s="9"/>
      <c r="AP4" s="63"/>
      <c r="AQ4" s="9"/>
      <c r="AR4" s="63">
        <v>209</v>
      </c>
      <c r="AS4" s="9"/>
      <c r="AT4" s="63">
        <v>64</v>
      </c>
      <c r="AU4" s="51"/>
      <c r="AV4" s="63"/>
      <c r="AW4" s="51"/>
      <c r="AX4" s="63"/>
      <c r="AY4" s="9"/>
      <c r="AZ4" s="63"/>
      <c r="BA4" s="9"/>
      <c r="BB4" s="63"/>
      <c r="BC4" s="9"/>
      <c r="BD4" s="63"/>
      <c r="BE4" s="9"/>
      <c r="BF4" s="63"/>
      <c r="BG4" s="9"/>
      <c r="BH4" s="51"/>
      <c r="BI4" s="131"/>
      <c r="BJ4" s="63"/>
      <c r="BK4" s="63"/>
      <c r="BL4" s="63"/>
      <c r="BM4" s="29"/>
      <c r="BN4" s="103" t="s">
        <v>6</v>
      </c>
    </row>
    <row r="5" spans="1:66">
      <c r="A5" s="9"/>
      <c r="B5" s="103" t="s">
        <v>7</v>
      </c>
      <c r="C5" s="51"/>
      <c r="D5" s="51">
        <v>12</v>
      </c>
      <c r="E5" s="9"/>
      <c r="F5" s="51">
        <v>34</v>
      </c>
      <c r="G5" s="9"/>
      <c r="H5" s="63"/>
      <c r="I5" s="9"/>
      <c r="J5" s="63">
        <v>35</v>
      </c>
      <c r="K5" s="9"/>
      <c r="L5" s="63">
        <v>3</v>
      </c>
      <c r="M5" s="9"/>
      <c r="N5" s="63">
        <v>8</v>
      </c>
      <c r="O5" s="9"/>
      <c r="P5" s="63"/>
      <c r="Q5" s="9"/>
      <c r="R5" s="63"/>
      <c r="S5" s="9"/>
      <c r="T5" s="63">
        <v>15</v>
      </c>
      <c r="U5" s="9"/>
      <c r="V5" s="63"/>
      <c r="W5" s="9"/>
      <c r="X5" s="63">
        <v>23.66</v>
      </c>
      <c r="Y5" s="9"/>
      <c r="Z5" s="51"/>
      <c r="AA5" s="9"/>
      <c r="AB5" s="63">
        <v>6</v>
      </c>
      <c r="AC5" s="9"/>
      <c r="AD5" s="63">
        <v>10</v>
      </c>
      <c r="AE5" s="9"/>
      <c r="AF5" s="63"/>
      <c r="AG5" s="9"/>
      <c r="AH5" s="63"/>
      <c r="AI5" s="9"/>
      <c r="AJ5" s="63">
        <v>140</v>
      </c>
      <c r="AK5" s="9"/>
      <c r="AL5" s="63">
        <v>8</v>
      </c>
      <c r="AM5" s="9"/>
      <c r="AN5" s="63"/>
      <c r="AO5" s="9"/>
      <c r="AP5" s="63"/>
      <c r="AQ5" s="9"/>
      <c r="AR5" s="63"/>
      <c r="AS5" s="9"/>
      <c r="AT5" s="63"/>
      <c r="AU5" s="51"/>
      <c r="AV5" s="63"/>
      <c r="AW5" s="51"/>
      <c r="AX5" s="63"/>
      <c r="AY5" s="9"/>
      <c r="AZ5" s="63"/>
      <c r="BA5" s="9"/>
      <c r="BB5" s="63"/>
      <c r="BC5" s="9"/>
      <c r="BD5" s="63"/>
      <c r="BE5" s="9"/>
      <c r="BF5" s="63"/>
      <c r="BG5" s="9"/>
      <c r="BH5" s="51"/>
      <c r="BI5" s="131"/>
      <c r="BJ5" s="63"/>
      <c r="BK5" s="63"/>
      <c r="BL5" s="63"/>
      <c r="BM5" s="29"/>
      <c r="BN5" s="103" t="s">
        <v>7</v>
      </c>
    </row>
    <row r="6" spans="1:66">
      <c r="A6" s="4"/>
      <c r="B6" s="104" t="s">
        <v>8</v>
      </c>
      <c r="C6" s="64" t="s">
        <v>165</v>
      </c>
      <c r="D6" s="64">
        <v>130</v>
      </c>
      <c r="E6" s="4" t="s">
        <v>105</v>
      </c>
      <c r="F6" s="64">
        <v>21</v>
      </c>
      <c r="G6" s="4"/>
      <c r="H6" s="65"/>
      <c r="I6" s="4"/>
      <c r="J6" s="65"/>
      <c r="K6" s="4"/>
      <c r="L6" s="65"/>
      <c r="M6" s="4"/>
      <c r="N6" s="65"/>
      <c r="O6" s="4"/>
      <c r="P6" s="65"/>
      <c r="Q6" s="4"/>
      <c r="R6" s="65">
        <f>19.5+12</f>
        <v>31.5</v>
      </c>
      <c r="S6" s="4"/>
      <c r="T6" s="65"/>
      <c r="U6" s="4"/>
      <c r="V6" s="65"/>
      <c r="W6" s="4"/>
      <c r="X6" s="65"/>
      <c r="Y6" s="4"/>
      <c r="Z6" s="64"/>
      <c r="AA6" s="4"/>
      <c r="AB6" s="65"/>
      <c r="AC6" s="9" t="s">
        <v>166</v>
      </c>
      <c r="AD6" s="63">
        <f>117+(56+53)/2</f>
        <v>171.5</v>
      </c>
      <c r="AE6" s="4"/>
      <c r="AF6" s="65"/>
      <c r="AG6" s="4"/>
      <c r="AH6" s="65"/>
      <c r="AI6" s="4"/>
      <c r="AJ6" s="65">
        <v>27</v>
      </c>
      <c r="AK6" s="4"/>
      <c r="AL6" s="65"/>
      <c r="AM6" s="4"/>
      <c r="AN6" s="65"/>
      <c r="AO6" s="4"/>
      <c r="AP6" s="65"/>
      <c r="AQ6" s="4"/>
      <c r="AR6" s="65"/>
      <c r="AS6" s="4"/>
      <c r="AT6" s="65"/>
      <c r="AU6" s="64"/>
      <c r="AV6" s="65"/>
      <c r="AW6" s="64"/>
      <c r="AX6" s="65"/>
      <c r="AY6" s="4"/>
      <c r="AZ6" s="65"/>
      <c r="BA6" s="4"/>
      <c r="BB6" s="65"/>
      <c r="BC6" s="4"/>
      <c r="BD6" s="65"/>
      <c r="BE6" s="4"/>
      <c r="BF6" s="65"/>
      <c r="BG6" s="4"/>
      <c r="BH6" s="64"/>
      <c r="BI6" s="130"/>
      <c r="BJ6" s="65"/>
      <c r="BK6" s="65"/>
      <c r="BL6" s="65"/>
      <c r="BM6" s="29"/>
      <c r="BN6" s="104" t="s">
        <v>8</v>
      </c>
    </row>
    <row r="7" spans="1:66">
      <c r="A7" s="8" t="s">
        <v>10</v>
      </c>
      <c r="B7" s="105" t="s">
        <v>11</v>
      </c>
      <c r="C7" s="51"/>
      <c r="D7" s="63"/>
      <c r="E7" s="66"/>
      <c r="F7" s="66"/>
      <c r="G7" s="8"/>
      <c r="H7" s="67"/>
      <c r="I7" s="8"/>
      <c r="J7" s="67"/>
      <c r="K7" s="8"/>
      <c r="L7" s="67"/>
      <c r="M7" s="9" t="s">
        <v>167</v>
      </c>
      <c r="N7" s="63">
        <v>5.76</v>
      </c>
      <c r="O7" s="8"/>
      <c r="P7" s="67"/>
      <c r="Q7" s="8"/>
      <c r="R7" s="67"/>
      <c r="S7" s="9" t="s">
        <v>13</v>
      </c>
      <c r="T7" s="63">
        <v>10.5</v>
      </c>
      <c r="U7" s="8"/>
      <c r="V7" s="67"/>
      <c r="W7" s="8"/>
      <c r="X7" s="67"/>
      <c r="Y7" s="8"/>
      <c r="Z7" s="66"/>
      <c r="AA7" s="8" t="s">
        <v>168</v>
      </c>
      <c r="AB7" s="67">
        <v>184</v>
      </c>
      <c r="AC7" s="8"/>
      <c r="AD7" s="67"/>
      <c r="AE7" s="8"/>
      <c r="AF7" s="67"/>
      <c r="AG7" s="8"/>
      <c r="AH7" s="67"/>
      <c r="AI7" s="8"/>
      <c r="AJ7" s="67"/>
      <c r="AK7" s="8" t="s">
        <v>169</v>
      </c>
      <c r="AL7" s="67">
        <f>5.6+43.5+41</f>
        <v>90.1</v>
      </c>
      <c r="AM7" s="8" t="s">
        <v>109</v>
      </c>
      <c r="AN7" s="67">
        <v>34.44</v>
      </c>
      <c r="AO7" s="8" t="s">
        <v>170</v>
      </c>
      <c r="AP7" s="67">
        <f>93+4</f>
        <v>97</v>
      </c>
      <c r="AQ7" s="8" t="s">
        <v>109</v>
      </c>
      <c r="AR7" s="67">
        <v>33.79</v>
      </c>
      <c r="AS7" s="8" t="s">
        <v>171</v>
      </c>
      <c r="AT7" s="67">
        <f>107.25+315</f>
        <v>422.25</v>
      </c>
      <c r="AU7" s="66"/>
      <c r="AV7" s="67"/>
      <c r="AW7" s="66"/>
      <c r="AX7" s="67"/>
      <c r="AY7" s="8"/>
      <c r="AZ7" s="67"/>
      <c r="BA7" s="8"/>
      <c r="BB7" s="67"/>
      <c r="BC7" s="8"/>
      <c r="BD7" s="67"/>
      <c r="BE7" s="8"/>
      <c r="BF7" s="67"/>
      <c r="BG7" s="8"/>
      <c r="BH7" s="66"/>
      <c r="BI7" s="8"/>
      <c r="BJ7" s="67"/>
      <c r="BK7" s="66" t="s">
        <v>172</v>
      </c>
      <c r="BL7" s="67">
        <v>340</v>
      </c>
      <c r="BM7" s="27">
        <f>SUM(C7:BL7)</f>
        <v>1217.84</v>
      </c>
      <c r="BN7" s="105" t="s">
        <v>11</v>
      </c>
    </row>
    <row r="8" spans="1:66">
      <c r="A8" s="9"/>
      <c r="B8" s="106" t="s">
        <v>16</v>
      </c>
      <c r="C8" s="51"/>
      <c r="D8" s="63"/>
      <c r="E8" s="51"/>
      <c r="F8" s="51"/>
      <c r="G8" s="9"/>
      <c r="H8" s="63"/>
      <c r="I8" s="9"/>
      <c r="J8" s="63"/>
      <c r="K8" s="9"/>
      <c r="L8" s="63"/>
      <c r="M8" s="9"/>
      <c r="N8" s="63"/>
      <c r="O8" s="9"/>
      <c r="P8" s="63"/>
      <c r="Q8" s="9"/>
      <c r="R8" s="63"/>
      <c r="S8" s="9"/>
      <c r="T8" s="63"/>
      <c r="U8" s="9"/>
      <c r="V8" s="63"/>
      <c r="W8" s="9"/>
      <c r="X8" s="63"/>
      <c r="Y8" s="9"/>
      <c r="Z8" s="51"/>
      <c r="AA8" s="9"/>
      <c r="AB8" s="63"/>
      <c r="AC8" s="9"/>
      <c r="AD8" s="63"/>
      <c r="AE8" s="9"/>
      <c r="AF8" s="63"/>
      <c r="AG8" s="9"/>
      <c r="AH8" s="63"/>
      <c r="AI8" s="9"/>
      <c r="AJ8" s="63"/>
      <c r="AK8" s="9"/>
      <c r="AL8" s="63"/>
      <c r="AM8" s="9"/>
      <c r="AN8" s="63"/>
      <c r="AO8" s="9"/>
      <c r="AP8" s="63"/>
      <c r="AQ8" s="9"/>
      <c r="AR8" s="63"/>
      <c r="AS8" s="9"/>
      <c r="AT8" s="63"/>
      <c r="AU8" s="51"/>
      <c r="AV8" s="63"/>
      <c r="AW8" s="51"/>
      <c r="AX8" s="63"/>
      <c r="AY8" s="9"/>
      <c r="AZ8" s="63"/>
      <c r="BA8" s="9"/>
      <c r="BB8" s="63"/>
      <c r="BC8" s="9"/>
      <c r="BD8" s="63"/>
      <c r="BE8" s="9"/>
      <c r="BF8" s="63"/>
      <c r="BG8" s="9"/>
      <c r="BH8" s="51"/>
      <c r="BI8" s="9"/>
      <c r="BJ8" s="63"/>
      <c r="BK8" s="51"/>
      <c r="BL8" s="63"/>
      <c r="BM8" s="27">
        <f t="shared" ref="BM8:BM19" si="0">SUM(C8:BL8)</f>
        <v>0</v>
      </c>
      <c r="BN8" s="106" t="s">
        <v>16</v>
      </c>
    </row>
    <row r="9" spans="1:66">
      <c r="A9" s="9"/>
      <c r="B9" s="107" t="s">
        <v>21</v>
      </c>
      <c r="C9" s="51"/>
      <c r="D9" s="63"/>
      <c r="E9" s="51"/>
      <c r="F9" s="51"/>
      <c r="G9" s="9"/>
      <c r="H9" s="63"/>
      <c r="I9" s="51"/>
      <c r="J9" s="51"/>
      <c r="K9" s="9" t="s">
        <v>79</v>
      </c>
      <c r="L9" s="63">
        <v>68</v>
      </c>
      <c r="M9" s="9"/>
      <c r="N9" s="63"/>
      <c r="O9" s="9"/>
      <c r="P9" s="63"/>
      <c r="Q9" s="9" t="s">
        <v>173</v>
      </c>
      <c r="R9" s="63">
        <v>50</v>
      </c>
      <c r="S9" s="9"/>
      <c r="T9" s="63"/>
      <c r="U9" s="9"/>
      <c r="V9" s="63"/>
      <c r="W9" s="9"/>
      <c r="X9" s="63"/>
      <c r="Y9" s="9"/>
      <c r="Z9" s="51"/>
      <c r="AA9" s="9"/>
      <c r="AB9" s="63"/>
      <c r="AC9" s="9"/>
      <c r="AD9" s="63"/>
      <c r="AE9" s="9"/>
      <c r="AF9" s="63"/>
      <c r="AG9" s="9" t="s">
        <v>66</v>
      </c>
      <c r="AH9" s="63">
        <v>6</v>
      </c>
      <c r="AI9" s="9"/>
      <c r="AJ9" s="63"/>
      <c r="AK9" s="9"/>
      <c r="AL9" s="63"/>
      <c r="AO9" s="9"/>
      <c r="AP9" s="63"/>
      <c r="AQ9" s="9"/>
      <c r="AR9" s="63"/>
      <c r="AS9" s="9" t="s">
        <v>24</v>
      </c>
      <c r="AT9" s="63">
        <v>4.8</v>
      </c>
      <c r="AU9" s="51"/>
      <c r="AV9" s="63"/>
      <c r="AW9" s="51"/>
      <c r="AX9" s="63"/>
      <c r="AY9" s="9"/>
      <c r="AZ9" s="63"/>
      <c r="BA9" s="9"/>
      <c r="BB9" s="63"/>
      <c r="BC9" s="9"/>
      <c r="BD9" s="63"/>
      <c r="BE9" s="9"/>
      <c r="BF9" s="63"/>
      <c r="BG9" s="9"/>
      <c r="BH9" s="51"/>
      <c r="BI9" s="9"/>
      <c r="BJ9" s="63"/>
      <c r="BK9" s="51"/>
      <c r="BL9" s="63"/>
      <c r="BM9" s="27">
        <f t="shared" si="0"/>
        <v>128.8</v>
      </c>
      <c r="BN9" s="107" t="s">
        <v>21</v>
      </c>
    </row>
    <row r="10" spans="1:66">
      <c r="A10" s="9"/>
      <c r="B10" s="107" t="s">
        <v>26</v>
      </c>
      <c r="C10" s="51"/>
      <c r="D10" s="63"/>
      <c r="E10" s="51" t="s">
        <v>174</v>
      </c>
      <c r="F10" s="51">
        <v>20</v>
      </c>
      <c r="G10" s="9" t="s">
        <v>175</v>
      </c>
      <c r="H10" s="63">
        <v>40</v>
      </c>
      <c r="I10" s="9"/>
      <c r="J10" s="63"/>
      <c r="K10" s="9"/>
      <c r="L10" s="63"/>
      <c r="M10" s="9"/>
      <c r="N10" s="51"/>
      <c r="O10" s="9" t="s">
        <v>174</v>
      </c>
      <c r="P10" s="63">
        <v>10</v>
      </c>
      <c r="Q10" s="51" t="s">
        <v>28</v>
      </c>
      <c r="R10" s="63">
        <v>176</v>
      </c>
      <c r="S10" s="9"/>
      <c r="T10" s="63"/>
      <c r="U10" s="9"/>
      <c r="V10" s="63"/>
      <c r="W10" s="9"/>
      <c r="X10" s="63"/>
      <c r="Y10" s="9"/>
      <c r="Z10" s="51"/>
      <c r="AA10" s="9" t="s">
        <v>176</v>
      </c>
      <c r="AB10" s="63">
        <f>100+200+12</f>
        <v>312</v>
      </c>
      <c r="AC10" s="9"/>
      <c r="AD10" s="63"/>
      <c r="AE10" s="9"/>
      <c r="AF10" s="63"/>
      <c r="AG10" s="9"/>
      <c r="AH10" s="63"/>
      <c r="AI10" s="9"/>
      <c r="AJ10" s="63"/>
      <c r="AK10" s="9"/>
      <c r="AL10" s="63"/>
      <c r="AM10" s="9" t="s">
        <v>177</v>
      </c>
      <c r="AN10" s="63">
        <v>50</v>
      </c>
      <c r="AO10" s="9"/>
      <c r="AP10" s="63"/>
      <c r="AQ10" s="9" t="s">
        <v>178</v>
      </c>
      <c r="AR10" s="63">
        <v>88</v>
      </c>
      <c r="AS10" s="9"/>
      <c r="AT10" s="63"/>
      <c r="AU10" s="51"/>
      <c r="AV10" s="63"/>
      <c r="AW10" s="51"/>
      <c r="AX10" s="63"/>
      <c r="AY10" s="9"/>
      <c r="AZ10" s="63"/>
      <c r="BA10" s="9"/>
      <c r="BB10" s="63"/>
      <c r="BC10" s="9"/>
      <c r="BD10" s="63"/>
      <c r="BE10" s="9"/>
      <c r="BF10" s="63"/>
      <c r="BG10" s="9"/>
      <c r="BH10" s="51"/>
      <c r="BI10" s="9"/>
      <c r="BJ10" s="63"/>
      <c r="BK10" s="51"/>
      <c r="BL10" s="63"/>
      <c r="BM10" s="27">
        <f t="shared" si="0"/>
        <v>696</v>
      </c>
      <c r="BN10" s="107" t="s">
        <v>26</v>
      </c>
    </row>
    <row r="11" spans="1:66">
      <c r="A11" s="9"/>
      <c r="B11" s="107" t="s">
        <v>29</v>
      </c>
      <c r="C11" s="51"/>
      <c r="D11" s="51"/>
      <c r="E11" s="9"/>
      <c r="F11" s="63"/>
      <c r="G11" s="9"/>
      <c r="H11" s="63"/>
      <c r="I11" s="9" t="s">
        <v>179</v>
      </c>
      <c r="J11" s="63">
        <v>60</v>
      </c>
      <c r="K11" s="9"/>
      <c r="L11" s="63"/>
      <c r="M11" s="9"/>
      <c r="N11" s="63"/>
      <c r="O11" s="9"/>
      <c r="P11" s="63"/>
      <c r="Q11" s="9"/>
      <c r="R11" s="63"/>
      <c r="S11" s="9"/>
      <c r="T11" s="63"/>
      <c r="U11" s="9"/>
      <c r="V11" s="63"/>
      <c r="W11" s="9"/>
      <c r="X11" s="63"/>
      <c r="Y11" s="9"/>
      <c r="Z11" s="51"/>
      <c r="AA11" s="9" t="s">
        <v>179</v>
      </c>
      <c r="AB11" s="63">
        <f>66/2</f>
        <v>33</v>
      </c>
      <c r="AC11" s="9" t="s">
        <v>179</v>
      </c>
      <c r="AD11" s="63">
        <f>57/2</f>
        <v>28.5</v>
      </c>
      <c r="AE11" s="9"/>
      <c r="AF11" s="63"/>
      <c r="AG11" s="9"/>
      <c r="AH11" s="63"/>
      <c r="AI11" s="9" t="s">
        <v>179</v>
      </c>
      <c r="AJ11" s="63">
        <f>60/2</f>
        <v>30</v>
      </c>
      <c r="AK11" s="4" t="s">
        <v>179</v>
      </c>
      <c r="AL11" s="65">
        <v>62</v>
      </c>
      <c r="AM11" s="9" t="s">
        <v>179</v>
      </c>
      <c r="AN11" s="63">
        <v>100</v>
      </c>
      <c r="AO11" s="9" t="s">
        <v>179</v>
      </c>
      <c r="AP11" s="63">
        <v>65</v>
      </c>
      <c r="AQ11" s="9"/>
      <c r="AR11" s="63"/>
      <c r="AS11" s="9"/>
      <c r="AT11" s="63"/>
      <c r="AU11" s="51"/>
      <c r="AV11" s="63"/>
      <c r="AW11" s="51"/>
      <c r="AX11" s="63"/>
      <c r="AY11" s="9"/>
      <c r="AZ11" s="63"/>
      <c r="BA11" s="9"/>
      <c r="BB11" s="63"/>
      <c r="BC11" s="9"/>
      <c r="BD11" s="63"/>
      <c r="BE11" s="9"/>
      <c r="BF11" s="63"/>
      <c r="BG11" s="9"/>
      <c r="BH11" s="51"/>
      <c r="BI11" s="4" t="s">
        <v>118</v>
      </c>
      <c r="BJ11" s="65">
        <v>221</v>
      </c>
      <c r="BK11" s="51"/>
      <c r="BL11" s="63"/>
      <c r="BM11" s="27">
        <f t="shared" si="0"/>
        <v>599.5</v>
      </c>
      <c r="BN11" s="107" t="s">
        <v>29</v>
      </c>
    </row>
    <row r="12" spans="1:66">
      <c r="A12" s="14" t="s">
        <v>30</v>
      </c>
      <c r="B12" s="108" t="s">
        <v>31</v>
      </c>
      <c r="C12" s="77"/>
      <c r="D12" s="77"/>
      <c r="E12" s="14"/>
      <c r="F12" s="48"/>
      <c r="G12" s="48"/>
      <c r="H12" s="10"/>
      <c r="I12" s="10"/>
      <c r="J12" s="10"/>
      <c r="K12" s="10"/>
      <c r="L12" s="14"/>
      <c r="M12" s="20"/>
      <c r="N12" s="20"/>
      <c r="O12" s="10"/>
      <c r="P12" s="14"/>
      <c r="Q12" s="10" t="s">
        <v>180</v>
      </c>
      <c r="R12" s="14">
        <v>13</v>
      </c>
      <c r="S12" s="10"/>
      <c r="T12" s="14"/>
      <c r="U12" s="10" t="s">
        <v>181</v>
      </c>
      <c r="V12" s="14">
        <v>17</v>
      </c>
      <c r="W12" s="10"/>
      <c r="X12" s="14"/>
      <c r="Y12" s="10"/>
      <c r="Z12" s="14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9" t="s">
        <v>182</v>
      </c>
      <c r="AL12" s="63">
        <f>50+16</f>
        <v>66</v>
      </c>
      <c r="AM12" s="68"/>
      <c r="AN12" s="68"/>
      <c r="AO12" s="8" t="s">
        <v>183</v>
      </c>
      <c r="AP12" s="67">
        <v>46</v>
      </c>
      <c r="AQ12" s="20" t="s">
        <v>184</v>
      </c>
      <c r="AR12" s="20">
        <v>100</v>
      </c>
      <c r="AS12" s="20" t="s">
        <v>174</v>
      </c>
      <c r="AT12" s="20">
        <v>6</v>
      </c>
      <c r="AU12" s="48"/>
      <c r="AV12" s="10"/>
      <c r="AW12" s="48"/>
      <c r="AX12" s="14"/>
      <c r="AY12" s="10"/>
      <c r="AZ12" s="14"/>
      <c r="BA12" s="10"/>
      <c r="BB12" s="14"/>
      <c r="BC12" s="10"/>
      <c r="BD12" s="14"/>
      <c r="BE12" s="10"/>
      <c r="BF12" s="14"/>
      <c r="BG12" s="10"/>
      <c r="BH12" s="14"/>
      <c r="BI12" s="10" t="s">
        <v>181</v>
      </c>
      <c r="BJ12" s="48">
        <v>31.63</v>
      </c>
      <c r="BK12" s="10"/>
      <c r="BL12" s="10"/>
      <c r="BM12" s="29">
        <f t="shared" si="0"/>
        <v>279.63</v>
      </c>
      <c r="BN12" s="108" t="s">
        <v>31</v>
      </c>
    </row>
    <row r="13" spans="1:66">
      <c r="A13" s="14" t="s">
        <v>35</v>
      </c>
      <c r="B13" s="109" t="s">
        <v>36</v>
      </c>
      <c r="C13" s="10"/>
      <c r="D13" s="77"/>
      <c r="E13" s="10"/>
      <c r="F13" s="48"/>
      <c r="G13" s="48"/>
      <c r="H13" s="10"/>
      <c r="I13" s="10"/>
      <c r="J13" s="10"/>
      <c r="K13" s="10"/>
      <c r="L13" s="14"/>
      <c r="M13" s="10"/>
      <c r="N13" s="14"/>
      <c r="O13" s="10"/>
      <c r="P13" s="14"/>
      <c r="Q13" s="10"/>
      <c r="R13" s="14"/>
      <c r="S13" s="10"/>
      <c r="T13" s="14"/>
      <c r="U13" s="10"/>
      <c r="V13" s="14"/>
      <c r="W13" s="10"/>
      <c r="X13" s="14"/>
      <c r="Y13" s="10"/>
      <c r="Z13" s="14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48"/>
      <c r="AV13" s="10"/>
      <c r="AW13" s="48"/>
      <c r="AX13" s="14"/>
      <c r="AY13" s="10"/>
      <c r="AZ13" s="14"/>
      <c r="BA13" s="10"/>
      <c r="BB13" s="14"/>
      <c r="BC13" s="10"/>
      <c r="BD13" s="14"/>
      <c r="BE13" s="10"/>
      <c r="BF13" s="14"/>
      <c r="BG13" s="10"/>
      <c r="BH13" s="14"/>
      <c r="BI13" s="10"/>
      <c r="BJ13" s="14"/>
      <c r="BK13" s="10"/>
      <c r="BL13" s="10"/>
      <c r="BM13" s="29">
        <f t="shared" si="0"/>
        <v>0</v>
      </c>
      <c r="BN13" s="109" t="s">
        <v>36</v>
      </c>
    </row>
    <row r="14" spans="1:66">
      <c r="A14" s="14" t="s">
        <v>38</v>
      </c>
      <c r="B14" s="110" t="s">
        <v>39</v>
      </c>
      <c r="C14" s="10" t="s">
        <v>185</v>
      </c>
      <c r="D14" s="77">
        <v>124.82</v>
      </c>
      <c r="E14" s="10" t="s">
        <v>186</v>
      </c>
      <c r="F14" s="48">
        <v>7.5</v>
      </c>
      <c r="G14" s="10"/>
      <c r="H14" s="10"/>
      <c r="I14" s="131"/>
      <c r="J14" s="63"/>
      <c r="K14" s="10"/>
      <c r="L14" s="14"/>
      <c r="M14" s="10"/>
      <c r="N14" s="14"/>
      <c r="O14" s="10"/>
      <c r="P14" s="14"/>
      <c r="Q14" s="10"/>
      <c r="R14" s="14"/>
      <c r="S14" s="10"/>
      <c r="T14" s="14"/>
      <c r="U14" s="10"/>
      <c r="V14" s="14"/>
      <c r="W14" s="10"/>
      <c r="X14" s="14"/>
      <c r="Y14" s="10"/>
      <c r="Z14" s="14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20" t="s">
        <v>187</v>
      </c>
      <c r="AP14" s="20">
        <v>25</v>
      </c>
      <c r="AQ14" s="68"/>
      <c r="AR14" s="68"/>
      <c r="AS14" s="68"/>
      <c r="AT14" s="68"/>
      <c r="AU14" s="48"/>
      <c r="AV14" s="10"/>
      <c r="AW14" s="48"/>
      <c r="AX14" s="14"/>
      <c r="AY14" s="10"/>
      <c r="AZ14" s="14"/>
      <c r="BA14" s="10"/>
      <c r="BB14" s="14"/>
      <c r="BC14" s="10"/>
      <c r="BD14" s="14"/>
      <c r="BE14" s="10"/>
      <c r="BF14" s="14"/>
      <c r="BG14" s="10"/>
      <c r="BH14" s="14"/>
      <c r="BI14" s="10"/>
      <c r="BJ14" s="14"/>
      <c r="BK14" s="10"/>
      <c r="BL14" s="10"/>
      <c r="BM14" s="29">
        <f t="shared" si="0"/>
        <v>157.32</v>
      </c>
      <c r="BN14" s="110" t="s">
        <v>39</v>
      </c>
    </row>
    <row r="15" spans="1:66">
      <c r="A15" s="14" t="s">
        <v>42</v>
      </c>
      <c r="B15" s="108" t="s">
        <v>43</v>
      </c>
      <c r="C15" s="48"/>
      <c r="D15" s="10"/>
      <c r="E15" s="48"/>
      <c r="F15" s="10"/>
      <c r="G15" s="48"/>
      <c r="H15" s="10"/>
      <c r="I15" s="10"/>
      <c r="J15" s="10"/>
      <c r="K15" s="10"/>
      <c r="L15" s="14"/>
      <c r="M15" s="10"/>
      <c r="N15" s="14"/>
      <c r="O15" s="10"/>
      <c r="P15" s="14"/>
      <c r="Q15" s="10"/>
      <c r="R15" s="14"/>
      <c r="S15" s="10"/>
      <c r="T15" s="14"/>
      <c r="U15" s="10"/>
      <c r="V15" s="14"/>
      <c r="W15" s="10"/>
      <c r="X15" s="14"/>
      <c r="Y15" s="10"/>
      <c r="Z15" s="14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48"/>
      <c r="AV15" s="10"/>
      <c r="AW15" s="48"/>
      <c r="AX15" s="14"/>
      <c r="AY15" s="10"/>
      <c r="AZ15" s="14"/>
      <c r="BA15" s="10"/>
      <c r="BB15" s="14"/>
      <c r="BC15" s="10"/>
      <c r="BD15" s="14"/>
      <c r="BE15" s="10"/>
      <c r="BF15" s="14"/>
      <c r="BG15" s="10"/>
      <c r="BH15" s="14"/>
      <c r="BI15" s="10"/>
      <c r="BJ15" s="14"/>
      <c r="BK15" s="10"/>
      <c r="BL15" s="10"/>
      <c r="BM15" s="29">
        <f t="shared" si="0"/>
        <v>0</v>
      </c>
      <c r="BN15" s="108" t="s">
        <v>43</v>
      </c>
    </row>
    <row r="16" spans="1:66">
      <c r="A16" s="14" t="s">
        <v>45</v>
      </c>
      <c r="B16" s="10" t="s">
        <v>46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29">
        <f t="shared" si="0"/>
        <v>0</v>
      </c>
      <c r="BN16" s="10" t="s">
        <v>46</v>
      </c>
    </row>
    <row r="17" ht="17" spans="1:66">
      <c r="A17" s="14"/>
      <c r="B17" s="111" t="s">
        <v>47</v>
      </c>
      <c r="C17" s="14">
        <f t="shared" ref="C17:G17" si="1">SUM(D3:D15)</f>
        <v>278.82</v>
      </c>
      <c r="D17" s="48"/>
      <c r="E17" s="14">
        <f t="shared" si="1"/>
        <v>82.5</v>
      </c>
      <c r="F17" s="48"/>
      <c r="G17" s="14">
        <f t="shared" si="1"/>
        <v>57</v>
      </c>
      <c r="H17" s="48"/>
      <c r="I17" s="14">
        <f t="shared" ref="I17:M17" si="2">SUM(J3:J15)</f>
        <v>103</v>
      </c>
      <c r="J17" s="48"/>
      <c r="K17" s="14">
        <f t="shared" si="2"/>
        <v>81</v>
      </c>
      <c r="L17" s="48"/>
      <c r="M17" s="14">
        <f t="shared" si="2"/>
        <v>46.76</v>
      </c>
      <c r="N17" s="48"/>
      <c r="O17" s="14">
        <f t="shared" ref="O17:S17" si="3">SUM(P3:P15)</f>
        <v>80</v>
      </c>
      <c r="P17" s="48"/>
      <c r="Q17" s="14">
        <f t="shared" si="3"/>
        <v>279.5</v>
      </c>
      <c r="R17" s="48"/>
      <c r="S17" s="14">
        <f t="shared" si="3"/>
        <v>25.5</v>
      </c>
      <c r="T17" s="48"/>
      <c r="U17" s="14">
        <f t="shared" ref="U17:Y17" si="4">SUM(V3:V15)</f>
        <v>17</v>
      </c>
      <c r="V17" s="48"/>
      <c r="W17" s="14">
        <f t="shared" si="4"/>
        <v>23.66</v>
      </c>
      <c r="X17" s="48"/>
      <c r="Y17" s="14">
        <f t="shared" si="4"/>
        <v>63.5</v>
      </c>
      <c r="Z17" s="48"/>
      <c r="AA17" s="14">
        <f t="shared" ref="AA17:AE17" si="5">SUM(AB3:AB15)</f>
        <v>535</v>
      </c>
      <c r="AB17" s="48"/>
      <c r="AC17" s="14">
        <f t="shared" si="5"/>
        <v>225.5</v>
      </c>
      <c r="AD17" s="48"/>
      <c r="AE17" s="14">
        <f t="shared" si="5"/>
        <v>15</v>
      </c>
      <c r="AF17" s="48"/>
      <c r="AG17" s="14">
        <f t="shared" ref="AG17:AK17" si="6">SUM(AH3:AH15)</f>
        <v>6</v>
      </c>
      <c r="AH17" s="48"/>
      <c r="AI17" s="14">
        <f t="shared" si="6"/>
        <v>197</v>
      </c>
      <c r="AJ17" s="48"/>
      <c r="AK17" s="14">
        <f t="shared" si="6"/>
        <v>267.5</v>
      </c>
      <c r="AL17" s="48"/>
      <c r="AM17" s="14">
        <f t="shared" ref="AM17:AQ17" si="7">SUM(AN3:AN15)</f>
        <v>447.44</v>
      </c>
      <c r="AN17" s="48"/>
      <c r="AO17" s="14">
        <f t="shared" si="7"/>
        <v>233</v>
      </c>
      <c r="AP17" s="48"/>
      <c r="AQ17" s="14">
        <f t="shared" si="7"/>
        <v>430.79</v>
      </c>
      <c r="AR17" s="48"/>
      <c r="AS17" s="14">
        <f t="shared" ref="AS17:AW17" si="8">SUM(AT3:AT15)</f>
        <v>497.05</v>
      </c>
      <c r="AT17" s="48"/>
      <c r="AU17" s="14">
        <f t="shared" si="8"/>
        <v>0</v>
      </c>
      <c r="AV17" s="48"/>
      <c r="AW17" s="14">
        <f t="shared" si="8"/>
        <v>0</v>
      </c>
      <c r="AX17" s="48"/>
      <c r="AY17" s="14">
        <f t="shared" ref="AY17:BC17" si="9">SUM(AZ3:AZ15)</f>
        <v>0</v>
      </c>
      <c r="AZ17" s="48"/>
      <c r="BA17" s="14">
        <f t="shared" si="9"/>
        <v>0</v>
      </c>
      <c r="BB17" s="48"/>
      <c r="BC17" s="14">
        <f t="shared" si="9"/>
        <v>0</v>
      </c>
      <c r="BD17" s="48"/>
      <c r="BE17" s="14">
        <f t="shared" ref="BE17:BI17" si="10">SUM(BF3:BF15)</f>
        <v>0</v>
      </c>
      <c r="BF17" s="48"/>
      <c r="BG17" s="14">
        <f t="shared" si="10"/>
        <v>0</v>
      </c>
      <c r="BH17" s="48"/>
      <c r="BI17" s="14">
        <f t="shared" si="10"/>
        <v>252.63</v>
      </c>
      <c r="BJ17" s="48"/>
      <c r="BK17" s="14">
        <f>SUM(BL3:BL15)</f>
        <v>340</v>
      </c>
      <c r="BL17" s="48"/>
      <c r="BM17" s="29">
        <f t="shared" si="0"/>
        <v>4585.15</v>
      </c>
      <c r="BN17" s="111" t="s">
        <v>47</v>
      </c>
    </row>
    <row r="18" ht="17" spans="1:66">
      <c r="A18" s="14" t="s">
        <v>48</v>
      </c>
      <c r="B18" s="85" t="s">
        <v>49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10"/>
      <c r="Y18" s="10"/>
      <c r="Z18" s="85"/>
      <c r="AA18" s="85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68"/>
      <c r="BE18" s="68"/>
      <c r="BF18" s="68"/>
      <c r="BG18" s="68"/>
      <c r="BH18" s="68"/>
      <c r="BI18" s="68"/>
      <c r="BJ18" s="68"/>
      <c r="BK18" s="68"/>
      <c r="BL18" s="48"/>
      <c r="BM18" s="29">
        <f t="shared" si="0"/>
        <v>0</v>
      </c>
      <c r="BN18" s="85" t="s">
        <v>49</v>
      </c>
    </row>
    <row r="19" ht="17" spans="1:66">
      <c r="A19" s="51"/>
      <c r="B19" s="85" t="s">
        <v>51</v>
      </c>
      <c r="C19" s="10"/>
      <c r="D19" s="10"/>
      <c r="E19" s="116"/>
      <c r="F19" s="117"/>
      <c r="G19" s="68"/>
      <c r="H19" s="68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10"/>
      <c r="Y19" s="10"/>
      <c r="Z19" s="85"/>
      <c r="AA19" s="85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68"/>
      <c r="BE19" s="68"/>
      <c r="BF19" s="68"/>
      <c r="BG19" s="68"/>
      <c r="BH19" s="68"/>
      <c r="BI19" s="68"/>
      <c r="BJ19" s="68"/>
      <c r="BK19" s="68"/>
      <c r="BL19" s="48"/>
      <c r="BM19" s="29">
        <f t="shared" si="0"/>
        <v>0</v>
      </c>
      <c r="BN19" s="85" t="s">
        <v>51</v>
      </c>
    </row>
    <row r="20" spans="1:67">
      <c r="A20" s="51"/>
      <c r="B20" s="51"/>
      <c r="C20" s="51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</row>
    <row r="21" spans="1:65">
      <c r="A21" s="51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1"/>
      <c r="Z21" s="51"/>
      <c r="AA21" s="132" t="s">
        <v>188</v>
      </c>
      <c r="AB21" s="132" t="s">
        <v>189</v>
      </c>
      <c r="AC21" s="132"/>
      <c r="AD21" s="132"/>
      <c r="AE21" s="132">
        <v>798.9</v>
      </c>
      <c r="AF2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129"/>
      <c r="BD21" s="129"/>
      <c r="BE21" s="129"/>
      <c r="BF21" s="129"/>
      <c r="BG21" s="129"/>
      <c r="BH21" s="129"/>
      <c r="BI21" s="129"/>
      <c r="BJ21" s="129"/>
      <c r="BK21" s="129"/>
      <c r="BL21" s="129"/>
      <c r="BM21" s="51"/>
    </row>
    <row r="22" spans="1:64">
      <c r="A22" s="51"/>
      <c r="B22" s="10" t="s">
        <v>52</v>
      </c>
      <c r="C22" s="10" t="s">
        <v>53</v>
      </c>
      <c r="D22" s="10" t="s">
        <v>190</v>
      </c>
      <c r="E22" s="10" t="s">
        <v>161</v>
      </c>
      <c r="F22" s="10" t="s">
        <v>160</v>
      </c>
      <c r="G22" s="10" t="s">
        <v>160</v>
      </c>
      <c r="H22" s="10" t="s">
        <v>161</v>
      </c>
      <c r="I22" s="52" t="s">
        <v>160</v>
      </c>
      <c r="J22" s="52" t="s">
        <v>161</v>
      </c>
      <c r="K22" s="52" t="s">
        <v>160</v>
      </c>
      <c r="L22" s="52" t="s">
        <v>47</v>
      </c>
      <c r="M22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1"/>
      <c r="Y22" s="51"/>
      <c r="Z22" s="51"/>
      <c r="AA22" s="132"/>
      <c r="AB22" s="10" t="s">
        <v>191</v>
      </c>
      <c r="AC22" s="10"/>
      <c r="AD22" s="10"/>
      <c r="AE22" s="10">
        <v>318.5</v>
      </c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129"/>
      <c r="BC22" s="129"/>
      <c r="BD22" s="129"/>
      <c r="BE22" s="129"/>
      <c r="BF22" s="129"/>
      <c r="BG22" s="129"/>
      <c r="BH22" s="129"/>
      <c r="BI22" s="129"/>
      <c r="BJ22" s="129"/>
      <c r="BK22" s="129"/>
      <c r="BL22" s="51"/>
    </row>
    <row r="23" spans="1:64">
      <c r="A23" s="51"/>
      <c r="B23" s="2" t="s">
        <v>57</v>
      </c>
      <c r="C23" s="2">
        <v>44013</v>
      </c>
      <c r="D23" s="112">
        <v>44019</v>
      </c>
      <c r="E23" s="2">
        <v>44016</v>
      </c>
      <c r="F23" s="119">
        <v>44022</v>
      </c>
      <c r="G23" s="119">
        <v>44028</v>
      </c>
      <c r="H23" s="119">
        <v>44033</v>
      </c>
      <c r="I23" s="112">
        <v>44035</v>
      </c>
      <c r="J23" s="112">
        <v>44037</v>
      </c>
      <c r="K23" s="112">
        <v>44043</v>
      </c>
      <c r="L23" s="52"/>
      <c r="M2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1"/>
      <c r="Y23" s="51"/>
      <c r="Z23" s="51"/>
      <c r="AA23" s="132"/>
      <c r="AB23" s="10" t="s">
        <v>192</v>
      </c>
      <c r="AC23" s="10"/>
      <c r="AD23" s="10"/>
      <c r="AE23" s="10">
        <v>820.58</v>
      </c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129"/>
      <c r="BC23" s="129"/>
      <c r="BD23" s="129"/>
      <c r="BE23" s="129"/>
      <c r="BF23" s="129"/>
      <c r="BG23" s="129"/>
      <c r="BH23" s="129"/>
      <c r="BI23" s="129"/>
      <c r="BJ23" s="129"/>
      <c r="BK23" s="129"/>
      <c r="BL23" s="51"/>
    </row>
    <row r="24" spans="1:64">
      <c r="A24" s="51"/>
      <c r="B24" s="54" t="s">
        <v>60</v>
      </c>
      <c r="C24" s="54">
        <v>-912.24</v>
      </c>
      <c r="D24" s="52">
        <v>326.46</v>
      </c>
      <c r="E24" s="54">
        <v>1000</v>
      </c>
      <c r="F24" s="20">
        <v>600</v>
      </c>
      <c r="G24" s="20">
        <v>600</v>
      </c>
      <c r="H24" s="20">
        <v>600</v>
      </c>
      <c r="I24" s="52">
        <v>1500</v>
      </c>
      <c r="J24" s="52">
        <v>500</v>
      </c>
      <c r="K24" s="52">
        <v>900</v>
      </c>
      <c r="L24" s="52">
        <f>SUM(C24:K24)</f>
        <v>5114.22</v>
      </c>
      <c r="M24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1"/>
      <c r="Y24" s="51"/>
      <c r="Z24" s="51"/>
      <c r="AA24" s="132"/>
      <c r="AB24" s="10" t="s">
        <v>193</v>
      </c>
      <c r="AC24" s="10"/>
      <c r="AD24" s="10"/>
      <c r="AE24" s="10">
        <v>893.5</v>
      </c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129"/>
      <c r="BC24" s="129"/>
      <c r="BD24" s="129"/>
      <c r="BE24" s="129"/>
      <c r="BF24" s="129"/>
      <c r="BG24" s="129"/>
      <c r="BH24" s="129"/>
      <c r="BI24" s="129"/>
      <c r="BJ24" s="129"/>
      <c r="BK24" s="129"/>
      <c r="BL24" s="51"/>
    </row>
    <row r="25" spans="1:64">
      <c r="A25" s="51"/>
      <c r="B25" s="10" t="s">
        <v>61</v>
      </c>
      <c r="C25" s="10"/>
      <c r="D25" s="10"/>
      <c r="E25" s="130"/>
      <c r="F25"/>
      <c r="G25" s="92"/>
      <c r="H25" s="92"/>
      <c r="I25" s="53"/>
      <c r="J25" s="53"/>
      <c r="K25" s="53"/>
      <c r="L25" s="53"/>
      <c r="M25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1"/>
      <c r="Y25" s="51"/>
      <c r="Z25" s="51"/>
      <c r="AA25" s="132"/>
      <c r="AB25" s="10" t="s">
        <v>188</v>
      </c>
      <c r="AC25" s="10"/>
      <c r="AD25" s="10"/>
      <c r="AE25" s="10">
        <v>2831.48</v>
      </c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</row>
    <row r="26" spans="1:67">
      <c r="A26" s="51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</row>
    <row r="27" spans="1:67">
      <c r="A27" s="51"/>
      <c r="B27"/>
      <c r="C27"/>
      <c r="D27"/>
      <c r="E27"/>
      <c r="F27"/>
      <c r="G27"/>
      <c r="H27"/>
      <c r="I27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</row>
    <row r="28" spans="1:67">
      <c r="A28" s="51"/>
      <c r="B28"/>
      <c r="C28"/>
      <c r="D28"/>
      <c r="E28"/>
      <c r="F28"/>
      <c r="G28"/>
      <c r="H28"/>
      <c r="I28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</row>
    <row r="29" spans="1:67">
      <c r="A29" s="51"/>
      <c r="B29"/>
      <c r="C29"/>
      <c r="D29"/>
      <c r="E29"/>
      <c r="F29"/>
      <c r="G29"/>
      <c r="H29"/>
      <c r="I29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</row>
    <row r="30" spans="1:67">
      <c r="A30" s="51"/>
      <c r="B30" s="53"/>
      <c r="C30" s="53"/>
      <c r="D30" s="53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</row>
    <row r="31" spans="1:67">
      <c r="A31" s="51"/>
      <c r="B31" s="53"/>
      <c r="C31" s="53"/>
      <c r="D31" s="53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</row>
    <row r="32" spans="1:67">
      <c r="A32" s="51"/>
      <c r="B32" s="53"/>
      <c r="C32" s="53"/>
      <c r="D32" s="53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</row>
    <row r="33" spans="1:67">
      <c r="A33" s="51"/>
      <c r="B33" s="53"/>
      <c r="C33" s="53"/>
      <c r="D33" s="53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</row>
    <row r="34" spans="1:67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</row>
  </sheetData>
  <sheetProtection formatCells="0" insertHyperlinks="0" autoFilter="0"/>
  <mergeCells count="74">
    <mergeCell ref="AA1:AT1"/>
    <mergeCell ref="BI1:BL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AM17:AN17"/>
    <mergeCell ref="AO17:AP17"/>
    <mergeCell ref="AQ17:AR17"/>
    <mergeCell ref="AS17:AT17"/>
    <mergeCell ref="AU17:AV17"/>
    <mergeCell ref="AW17:AX17"/>
    <mergeCell ref="AY17:AZ17"/>
    <mergeCell ref="BA17:BB17"/>
    <mergeCell ref="BC17:BD17"/>
    <mergeCell ref="BE17:BF17"/>
    <mergeCell ref="BG17:BH17"/>
    <mergeCell ref="BI17:BJ17"/>
    <mergeCell ref="BK17:BL17"/>
    <mergeCell ref="AB21:AD21"/>
    <mergeCell ref="AB22:AD22"/>
    <mergeCell ref="AB23:AD23"/>
    <mergeCell ref="AB24:AD24"/>
    <mergeCell ref="C25:E25"/>
    <mergeCell ref="AB25:AD25"/>
    <mergeCell ref="A3:A6"/>
    <mergeCell ref="A7:A11"/>
    <mergeCell ref="AA21:AA25"/>
    <mergeCell ref="BM3:BM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O35"/>
  <sheetViews>
    <sheetView zoomScale="83" zoomScaleNormal="83" topLeftCell="B1" workbookViewId="0">
      <selection activeCell="BH11" sqref="BH11"/>
    </sheetView>
  </sheetViews>
  <sheetFormatPr defaultColWidth="9.81730769230769" defaultRowHeight="16.8"/>
  <cols>
    <col min="1" max="1" width="6" style="31" customWidth="1"/>
    <col min="2" max="2" width="20" style="31" customWidth="1"/>
    <col min="3" max="3" width="17.6153846153846" style="31" customWidth="1"/>
    <col min="4" max="5" width="10.3076923076923" style="31" customWidth="1"/>
    <col min="6" max="6" width="9" style="31" customWidth="1"/>
    <col min="7" max="7" width="19.2307692307692" style="31" customWidth="1"/>
    <col min="8" max="8" width="10.9230769230769" style="31" customWidth="1"/>
    <col min="9" max="9" width="59.6153846153846" style="31" customWidth="1"/>
    <col min="10" max="10" width="8.69230769230769" style="31" customWidth="1"/>
    <col min="11" max="11" width="12.7692307692308" style="31" customWidth="1"/>
    <col min="12" max="12" width="7.69230769230769" style="31" customWidth="1"/>
    <col min="13" max="13" width="19.2307692307692" style="31" customWidth="1"/>
    <col min="14" max="14" width="27.7692307692308" style="31" customWidth="1"/>
    <col min="15" max="15" width="6" style="31" customWidth="1"/>
    <col min="16" max="16" width="8.69230769230769" style="31" customWidth="1"/>
    <col min="17" max="17" width="10.3076923076923" style="31" customWidth="1"/>
    <col min="18" max="18" width="7.69230769230769" style="31" customWidth="1"/>
    <col min="19" max="19" width="14.3846153846154" style="31" customWidth="1"/>
    <col min="20" max="20" width="7.69230769230769" style="31" customWidth="1"/>
    <col min="21" max="21" width="8.15384615384615" style="31" customWidth="1"/>
    <col min="22" max="22" width="7.69230769230769" style="31" customWidth="1"/>
    <col min="23" max="23" width="8.15384615384615" style="31" customWidth="1"/>
    <col min="24" max="25" width="7.69230769230769" style="31" customWidth="1"/>
    <col min="26" max="26" width="9.25" style="31" customWidth="1"/>
    <col min="27" max="27" width="3.84615384615385" style="31" customWidth="1"/>
    <col min="28" max="29" width="6.69230769230769" style="31" customWidth="1"/>
    <col min="30" max="30" width="9.66346153846154" style="31" customWidth="1"/>
    <col min="31" max="31" width="8.66346153846154" style="31" customWidth="1"/>
    <col min="32" max="32" width="10.25" style="31" customWidth="1"/>
    <col min="33" max="33" width="10.3076923076923" style="31" customWidth="1"/>
    <col min="34" max="34" width="7.69230769230769" style="31" customWidth="1"/>
    <col min="35" max="35" width="7.61538461538461" style="31" customWidth="1"/>
    <col min="36" max="36" width="5.69230769230769" style="31" customWidth="1"/>
    <col min="37" max="37" width="6" style="31" customWidth="1"/>
    <col min="38" max="38" width="6.69230769230769" style="31" customWidth="1"/>
    <col min="39" max="39" width="6" style="31" customWidth="1"/>
    <col min="40" max="40" width="6.69230769230769" style="31" customWidth="1"/>
    <col min="41" max="41" width="6" style="31" customWidth="1"/>
    <col min="42" max="42" width="6.69230769230769" style="31" customWidth="1"/>
    <col min="43" max="43" width="19.2307692307692" style="31" customWidth="1"/>
    <col min="44" max="44" width="7.69230769230769" style="31" customWidth="1"/>
    <col min="45" max="45" width="10.3076923076923" style="31" customWidth="1"/>
    <col min="46" max="46" width="6.69230769230769" style="31" customWidth="1"/>
    <col min="47" max="47" width="22.4615384615385" style="31" customWidth="1"/>
    <col min="48" max="50" width="6.69230769230769" style="31" customWidth="1"/>
    <col min="51" max="51" width="3.84615384615385" style="31" customWidth="1"/>
    <col min="52" max="52" width="6.69230769230769" style="31" customWidth="1"/>
    <col min="53" max="53" width="8.15384615384615" style="31" customWidth="1"/>
    <col min="54" max="54" width="6.69230769230769" style="31" customWidth="1"/>
    <col min="55" max="55" width="6" style="31" customWidth="1"/>
    <col min="56" max="56" width="6.69230769230769" style="31" customWidth="1"/>
    <col min="57" max="57" width="15.9230769230769" style="31" customWidth="1"/>
    <col min="58" max="59" width="7.69230769230769" style="31" customWidth="1"/>
    <col min="60" max="60" width="6.69230769230769" style="31" customWidth="1"/>
    <col min="61" max="61" width="7.69230769230769" style="31" customWidth="1"/>
    <col min="62" max="62" width="6.69230769230769" style="31" customWidth="1"/>
    <col min="63" max="63" width="14.1538461538462" style="31" customWidth="1"/>
    <col min="64" max="64" width="7.69230769230769" style="31" customWidth="1"/>
    <col min="65" max="65" width="8.15384615384615" style="31" customWidth="1"/>
    <col min="66" max="66" width="15.1538461538462" style="31" customWidth="1"/>
    <col min="67" max="67" width="7.69230769230769" style="31" customWidth="1"/>
    <col min="68" max="15835" width="8.875" style="31"/>
  </cols>
  <sheetData>
    <row r="1" s="31" customFormat="1" ht="17.55" spans="3:20">
      <c r="C1" s="98" t="s">
        <v>194</v>
      </c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124"/>
    </row>
    <row r="2" s="31" customFormat="1" spans="1:66">
      <c r="A2" s="1"/>
      <c r="B2" s="100" t="s">
        <v>1</v>
      </c>
      <c r="C2" s="101">
        <v>44044</v>
      </c>
      <c r="D2" s="102"/>
      <c r="E2" s="115">
        <v>44045</v>
      </c>
      <c r="F2" s="102"/>
      <c r="G2" s="115">
        <v>44046</v>
      </c>
      <c r="H2" s="102"/>
      <c r="I2" s="115">
        <v>44047</v>
      </c>
      <c r="J2" s="102"/>
      <c r="K2" s="115">
        <v>44048</v>
      </c>
      <c r="L2" s="102"/>
      <c r="M2" s="115">
        <v>44049</v>
      </c>
      <c r="N2" s="102"/>
      <c r="O2" s="115">
        <v>44050</v>
      </c>
      <c r="P2" s="102"/>
      <c r="Q2" s="115">
        <v>44051</v>
      </c>
      <c r="R2" s="102"/>
      <c r="S2" s="115">
        <v>44052</v>
      </c>
      <c r="T2" s="102"/>
      <c r="U2" s="126">
        <v>44053</v>
      </c>
      <c r="V2" s="127"/>
      <c r="W2" s="126">
        <v>44054</v>
      </c>
      <c r="X2" s="127"/>
      <c r="Y2" s="126">
        <v>44055</v>
      </c>
      <c r="Z2" s="127"/>
      <c r="AA2" s="126">
        <v>44056</v>
      </c>
      <c r="AB2" s="127"/>
      <c r="AC2" s="126">
        <v>44057</v>
      </c>
      <c r="AD2" s="127"/>
      <c r="AE2" s="126">
        <v>44058</v>
      </c>
      <c r="AF2" s="127"/>
      <c r="AG2" s="126">
        <v>44059</v>
      </c>
      <c r="AH2" s="127"/>
      <c r="AI2" s="126">
        <v>44060</v>
      </c>
      <c r="AJ2" s="127"/>
      <c r="AK2" s="126">
        <v>44061</v>
      </c>
      <c r="AL2" s="127"/>
      <c r="AM2" s="126">
        <v>44062</v>
      </c>
      <c r="AN2" s="127"/>
      <c r="AO2" s="126">
        <v>44063</v>
      </c>
      <c r="AP2" s="127"/>
      <c r="AQ2" s="126">
        <v>44064</v>
      </c>
      <c r="AR2" s="127"/>
      <c r="AS2" s="126">
        <v>44065</v>
      </c>
      <c r="AT2" s="127"/>
      <c r="AU2" s="126">
        <v>44066</v>
      </c>
      <c r="AV2" s="127"/>
      <c r="AW2" s="126">
        <v>44067</v>
      </c>
      <c r="AX2" s="127"/>
      <c r="AY2" s="126">
        <v>44068</v>
      </c>
      <c r="AZ2" s="127"/>
      <c r="BA2" s="126">
        <v>44069</v>
      </c>
      <c r="BB2" s="127"/>
      <c r="BC2" s="126">
        <v>44070</v>
      </c>
      <c r="BD2" s="127"/>
      <c r="BE2" s="126">
        <v>44071</v>
      </c>
      <c r="BF2" s="127"/>
      <c r="BG2" s="126">
        <v>44072</v>
      </c>
      <c r="BH2" s="127"/>
      <c r="BI2" s="126">
        <v>44073</v>
      </c>
      <c r="BJ2" s="127"/>
      <c r="BK2" s="126">
        <v>44074</v>
      </c>
      <c r="BL2" s="127"/>
      <c r="BM2" s="2" t="s">
        <v>3</v>
      </c>
      <c r="BN2" s="100" t="s">
        <v>1</v>
      </c>
    </row>
    <row r="3" s="31" customFormat="1" spans="1:66">
      <c r="A3" s="9" t="s">
        <v>4</v>
      </c>
      <c r="B3" s="103" t="s">
        <v>5</v>
      </c>
      <c r="C3" s="9"/>
      <c r="D3" s="63"/>
      <c r="E3" s="66"/>
      <c r="F3" s="67"/>
      <c r="G3" s="51"/>
      <c r="H3" s="63"/>
      <c r="I3" s="9"/>
      <c r="J3" s="63">
        <v>36</v>
      </c>
      <c r="K3" s="9"/>
      <c r="L3" s="63"/>
      <c r="M3" s="9"/>
      <c r="N3" s="63"/>
      <c r="O3" s="9"/>
      <c r="P3" s="63"/>
      <c r="Q3" s="9"/>
      <c r="R3" s="63"/>
      <c r="S3" s="9"/>
      <c r="T3" s="63"/>
      <c r="U3" s="51"/>
      <c r="V3" s="63"/>
      <c r="W3" s="9"/>
      <c r="X3" s="63"/>
      <c r="Y3" s="9"/>
      <c r="Z3" s="51"/>
      <c r="AA3" s="9"/>
      <c r="AB3" s="51"/>
      <c r="AC3" s="9"/>
      <c r="AD3" s="51"/>
      <c r="AE3" s="9"/>
      <c r="AF3" s="51"/>
      <c r="AG3" s="9"/>
      <c r="AH3" s="51"/>
      <c r="AI3" s="9"/>
      <c r="AJ3" s="51"/>
      <c r="AK3" s="9"/>
      <c r="AL3" s="51"/>
      <c r="AM3" s="9"/>
      <c r="AN3" s="51"/>
      <c r="AO3" s="9"/>
      <c r="AP3" s="51">
        <v>13</v>
      </c>
      <c r="AQ3" s="9"/>
      <c r="AR3" s="51"/>
      <c r="AS3" s="9"/>
      <c r="AT3" s="51"/>
      <c r="AU3" s="9"/>
      <c r="AV3" s="63"/>
      <c r="AW3" s="51"/>
      <c r="AX3" s="63"/>
      <c r="AY3" s="9"/>
      <c r="AZ3" s="63"/>
      <c r="BA3" s="9"/>
      <c r="BB3" s="63">
        <v>12.5</v>
      </c>
      <c r="BC3" s="9"/>
      <c r="BD3" s="63"/>
      <c r="BE3" s="9"/>
      <c r="BF3" s="63"/>
      <c r="BG3" s="9"/>
      <c r="BH3" s="51">
        <v>20.9</v>
      </c>
      <c r="BI3" s="9"/>
      <c r="BJ3" s="51"/>
      <c r="BK3" s="9"/>
      <c r="BL3" s="51"/>
      <c r="BM3" s="7">
        <f>SUM(C3:BL6)</f>
        <v>1223.98</v>
      </c>
      <c r="BN3" s="103" t="s">
        <v>5</v>
      </c>
    </row>
    <row r="4" s="31" customFormat="1" spans="1:66">
      <c r="A4" s="9"/>
      <c r="B4" s="103" t="s">
        <v>6</v>
      </c>
      <c r="C4" s="9"/>
      <c r="D4" s="63"/>
      <c r="E4" s="51"/>
      <c r="F4" s="63"/>
      <c r="G4" s="51"/>
      <c r="H4" s="63"/>
      <c r="I4" s="9"/>
      <c r="J4" s="63"/>
      <c r="K4" s="9"/>
      <c r="L4" s="63">
        <v>48</v>
      </c>
      <c r="M4" s="9"/>
      <c r="N4" s="63">
        <v>62</v>
      </c>
      <c r="O4" s="9"/>
      <c r="P4" s="63">
        <v>32</v>
      </c>
      <c r="Q4" s="9"/>
      <c r="R4" s="63">
        <v>51.88</v>
      </c>
      <c r="S4" s="9"/>
      <c r="T4" s="63"/>
      <c r="U4" s="51"/>
      <c r="V4" s="63"/>
      <c r="W4" s="9"/>
      <c r="X4" s="63"/>
      <c r="Y4" s="9"/>
      <c r="Z4" s="51"/>
      <c r="AA4" s="9"/>
      <c r="AB4" s="51"/>
      <c r="AC4" s="9"/>
      <c r="AD4" s="51"/>
      <c r="AE4" s="9"/>
      <c r="AF4" s="51"/>
      <c r="AG4" s="9"/>
      <c r="AH4" s="51"/>
      <c r="AI4" s="9"/>
      <c r="AJ4" s="51"/>
      <c r="AK4" s="9"/>
      <c r="AL4" s="51"/>
      <c r="AM4" s="9"/>
      <c r="AN4" s="51"/>
      <c r="AO4" s="9"/>
      <c r="AP4" s="51"/>
      <c r="AQ4" s="9"/>
      <c r="AR4" s="51">
        <v>11</v>
      </c>
      <c r="AS4" s="9"/>
      <c r="AT4" s="51">
        <v>12</v>
      </c>
      <c r="AU4" s="9"/>
      <c r="AV4" s="63">
        <v>15</v>
      </c>
      <c r="AW4" s="51"/>
      <c r="AX4" s="63">
        <v>16.5</v>
      </c>
      <c r="AY4" s="9"/>
      <c r="AZ4" s="63">
        <v>15</v>
      </c>
      <c r="BA4" s="9"/>
      <c r="BB4" s="63">
        <v>19</v>
      </c>
      <c r="BC4" s="9"/>
      <c r="BD4" s="63">
        <v>19</v>
      </c>
      <c r="BE4" s="9"/>
      <c r="BF4" s="63">
        <v>33</v>
      </c>
      <c r="BG4" s="9"/>
      <c r="BH4" s="51">
        <v>18</v>
      </c>
      <c r="BI4" s="9"/>
      <c r="BJ4" s="51">
        <v>12</v>
      </c>
      <c r="BK4" s="9"/>
      <c r="BL4" s="51">
        <v>12</v>
      </c>
      <c r="BM4" s="7"/>
      <c r="BN4" s="103" t="s">
        <v>6</v>
      </c>
    </row>
    <row r="5" s="31" customFormat="1" spans="1:66">
      <c r="A5" s="9"/>
      <c r="B5" s="103" t="s">
        <v>7</v>
      </c>
      <c r="C5" s="9"/>
      <c r="D5" s="51"/>
      <c r="E5" s="9"/>
      <c r="F5" s="51"/>
      <c r="G5" s="9"/>
      <c r="H5" s="51">
        <v>142.96</v>
      </c>
      <c r="I5" s="9"/>
      <c r="J5" s="63">
        <v>104</v>
      </c>
      <c r="K5" s="9"/>
      <c r="L5" s="63">
        <v>167</v>
      </c>
      <c r="M5" s="9"/>
      <c r="N5" s="63">
        <v>38</v>
      </c>
      <c r="O5" s="9"/>
      <c r="P5" s="63"/>
      <c r="Q5" s="9"/>
      <c r="R5" s="63"/>
      <c r="S5" s="9"/>
      <c r="T5" s="63"/>
      <c r="U5" s="51"/>
      <c r="V5" s="63"/>
      <c r="W5" s="9"/>
      <c r="X5" s="63"/>
      <c r="Y5" s="9"/>
      <c r="Z5" s="51"/>
      <c r="AA5" s="9"/>
      <c r="AB5" s="51"/>
      <c r="AC5" s="9"/>
      <c r="AD5" s="51"/>
      <c r="AE5" s="9"/>
      <c r="AF5" s="51"/>
      <c r="AG5" s="9"/>
      <c r="AH5" s="51"/>
      <c r="AI5" s="9"/>
      <c r="AJ5" s="51"/>
      <c r="AK5" s="9"/>
      <c r="AL5" s="51"/>
      <c r="AM5" s="9"/>
      <c r="AN5" s="51">
        <v>16.14</v>
      </c>
      <c r="AO5" s="9"/>
      <c r="AP5" s="51">
        <v>36</v>
      </c>
      <c r="AQ5" s="9"/>
      <c r="AR5" s="51">
        <v>9</v>
      </c>
      <c r="AS5" s="9"/>
      <c r="AT5" s="51"/>
      <c r="AU5" s="9"/>
      <c r="AV5" s="63">
        <v>20</v>
      </c>
      <c r="AW5" s="51"/>
      <c r="AX5" s="63">
        <v>9</v>
      </c>
      <c r="AY5" s="9"/>
      <c r="AZ5" s="63">
        <v>14.5</v>
      </c>
      <c r="BA5" s="9"/>
      <c r="BB5" s="63"/>
      <c r="BC5" s="9"/>
      <c r="BD5" s="63">
        <v>11</v>
      </c>
      <c r="BE5" s="9"/>
      <c r="BF5" s="63">
        <v>19</v>
      </c>
      <c r="BG5" s="9"/>
      <c r="BH5" s="51">
        <v>17</v>
      </c>
      <c r="BI5" s="9"/>
      <c r="BJ5" s="51"/>
      <c r="BK5" s="9"/>
      <c r="BL5" s="51">
        <v>12</v>
      </c>
      <c r="BM5" s="7"/>
      <c r="BN5" s="103" t="s">
        <v>7</v>
      </c>
    </row>
    <row r="6" s="31" customFormat="1" spans="1:66">
      <c r="A6" s="4"/>
      <c r="B6" s="104" t="s">
        <v>8</v>
      </c>
      <c r="C6" s="4"/>
      <c r="D6" s="64"/>
      <c r="E6" s="4"/>
      <c r="F6" s="64"/>
      <c r="G6" s="4"/>
      <c r="H6" s="64"/>
      <c r="I6" s="4"/>
      <c r="J6" s="65"/>
      <c r="K6" s="4"/>
      <c r="L6" s="65"/>
      <c r="M6" s="4"/>
      <c r="N6" s="65"/>
      <c r="O6" s="4"/>
      <c r="P6" s="65"/>
      <c r="Q6" s="4"/>
      <c r="R6" s="65"/>
      <c r="S6" s="4"/>
      <c r="T6" s="65"/>
      <c r="U6" s="64" t="s">
        <v>195</v>
      </c>
      <c r="V6" s="65">
        <v>39</v>
      </c>
      <c r="W6" s="4"/>
      <c r="X6" s="65"/>
      <c r="Y6" s="4"/>
      <c r="Z6" s="64"/>
      <c r="AA6" s="4"/>
      <c r="AB6" s="64"/>
      <c r="AC6" s="4"/>
      <c r="AD6" s="64"/>
      <c r="AE6" s="4"/>
      <c r="AF6" s="64"/>
      <c r="AG6" s="4"/>
      <c r="AH6" s="64"/>
      <c r="AI6" s="4"/>
      <c r="AJ6" s="64"/>
      <c r="AK6" s="4"/>
      <c r="AL6" s="64"/>
      <c r="AM6" s="4" t="s">
        <v>130</v>
      </c>
      <c r="AN6" s="64">
        <v>28</v>
      </c>
      <c r="AO6" s="4" t="s">
        <v>130</v>
      </c>
      <c r="AP6" s="64">
        <v>39</v>
      </c>
      <c r="AQ6" s="4"/>
      <c r="AR6" s="64"/>
      <c r="AS6" s="4"/>
      <c r="AT6" s="64">
        <v>15.5</v>
      </c>
      <c r="AU6" s="4"/>
      <c r="AV6" s="65"/>
      <c r="AW6" s="64"/>
      <c r="AX6" s="65"/>
      <c r="AY6" s="4"/>
      <c r="AZ6" s="65"/>
      <c r="BA6" s="4"/>
      <c r="BB6" s="65"/>
      <c r="BC6" s="4"/>
      <c r="BD6" s="65"/>
      <c r="BE6" s="4"/>
      <c r="BF6" s="65">
        <v>3.5</v>
      </c>
      <c r="BG6" s="4"/>
      <c r="BH6" s="64"/>
      <c r="BI6" s="4"/>
      <c r="BJ6" s="64">
        <v>21.6</v>
      </c>
      <c r="BK6" s="4"/>
      <c r="BL6" s="64">
        <v>3</v>
      </c>
      <c r="BM6" s="7"/>
      <c r="BN6" s="104" t="s">
        <v>8</v>
      </c>
    </row>
    <row r="7" s="31" customFormat="1" spans="1:66">
      <c r="A7" s="8" t="s">
        <v>10</v>
      </c>
      <c r="B7" s="105" t="s">
        <v>11</v>
      </c>
      <c r="C7" s="9"/>
      <c r="D7" s="63">
        <v>30.75</v>
      </c>
      <c r="E7" s="66"/>
      <c r="F7" s="66"/>
      <c r="G7" s="8"/>
      <c r="H7" s="67">
        <v>28.72</v>
      </c>
      <c r="I7" s="66"/>
      <c r="J7" s="67">
        <v>24</v>
      </c>
      <c r="K7" s="66"/>
      <c r="L7" s="67">
        <v>4</v>
      </c>
      <c r="M7" s="66"/>
      <c r="N7" s="63">
        <v>4</v>
      </c>
      <c r="O7" s="66"/>
      <c r="P7" s="67">
        <v>4</v>
      </c>
      <c r="Q7" s="66"/>
      <c r="R7" s="67">
        <v>31.25</v>
      </c>
      <c r="S7" s="66" t="s">
        <v>196</v>
      </c>
      <c r="T7" s="63">
        <f>290+165.74</f>
        <v>455.74</v>
      </c>
      <c r="U7" s="66"/>
      <c r="V7" s="67"/>
      <c r="W7" s="8"/>
      <c r="X7" s="67"/>
      <c r="Y7" s="8"/>
      <c r="Z7" s="66"/>
      <c r="AA7" s="8"/>
      <c r="AB7" s="66"/>
      <c r="AC7" s="8"/>
      <c r="AD7" s="66"/>
      <c r="AE7" s="8"/>
      <c r="AF7" s="66"/>
      <c r="AG7" s="8"/>
      <c r="AH7" s="66"/>
      <c r="AI7" s="8"/>
      <c r="AJ7" s="66"/>
      <c r="AK7" s="8"/>
      <c r="AL7" s="66"/>
      <c r="AM7" s="8"/>
      <c r="AN7" s="66"/>
      <c r="AO7" s="8"/>
      <c r="AP7" s="66"/>
      <c r="AQ7" s="8"/>
      <c r="AR7" s="66">
        <v>2</v>
      </c>
      <c r="AS7" s="8"/>
      <c r="AT7" s="66"/>
      <c r="AU7" s="8"/>
      <c r="AV7" s="67"/>
      <c r="AW7" s="66"/>
      <c r="AX7" s="67"/>
      <c r="AY7" s="8"/>
      <c r="AZ7" s="67"/>
      <c r="BA7" s="8"/>
      <c r="BB7" s="67"/>
      <c r="BC7" s="8"/>
      <c r="BD7" s="67"/>
      <c r="BE7" s="8"/>
      <c r="BF7" s="67"/>
      <c r="BG7" s="8"/>
      <c r="BH7" s="66"/>
      <c r="BI7" s="8"/>
      <c r="BJ7" s="66"/>
      <c r="BK7" s="8"/>
      <c r="BL7" s="66"/>
      <c r="BM7" s="12">
        <f>SUM(C7:BL7)</f>
        <v>584.46</v>
      </c>
      <c r="BN7" s="105" t="s">
        <v>11</v>
      </c>
    </row>
    <row r="8" s="31" customFormat="1" spans="1:66">
      <c r="A8" s="9"/>
      <c r="B8" s="105" t="s">
        <v>15</v>
      </c>
      <c r="C8" s="9"/>
      <c r="D8" s="63"/>
      <c r="E8" s="51"/>
      <c r="F8" s="51"/>
      <c r="G8" s="9"/>
      <c r="H8" s="63"/>
      <c r="I8" s="51"/>
      <c r="J8" s="63"/>
      <c r="K8" s="51"/>
      <c r="L8" s="63"/>
      <c r="M8" s="51"/>
      <c r="N8" s="63"/>
      <c r="O8" s="51"/>
      <c r="P8" s="63"/>
      <c r="Q8" s="51"/>
      <c r="R8" s="63"/>
      <c r="S8" s="125"/>
      <c r="T8" s="63"/>
      <c r="U8" s="51"/>
      <c r="V8" s="63"/>
      <c r="W8" s="9"/>
      <c r="X8" s="63"/>
      <c r="Y8" s="9"/>
      <c r="Z8" s="51"/>
      <c r="AA8" s="9"/>
      <c r="AB8" s="51"/>
      <c r="AC8" s="9"/>
      <c r="AD8" s="51"/>
      <c r="AE8" s="9"/>
      <c r="AF8" s="51"/>
      <c r="AG8" s="9"/>
      <c r="AH8" s="51"/>
      <c r="AI8" s="9"/>
      <c r="AJ8" s="51"/>
      <c r="AK8" s="9"/>
      <c r="AL8" s="51"/>
      <c r="AM8" s="9"/>
      <c r="AN8" s="51"/>
      <c r="AO8" s="9"/>
      <c r="AP8" s="51"/>
      <c r="AQ8" s="9"/>
      <c r="AR8" s="51"/>
      <c r="AS8" s="9"/>
      <c r="AT8" s="51"/>
      <c r="AU8" s="9"/>
      <c r="AV8" s="63"/>
      <c r="AW8" s="51"/>
      <c r="AX8" s="63"/>
      <c r="AY8" s="9"/>
      <c r="AZ8" s="63"/>
      <c r="BA8" s="9"/>
      <c r="BB8" s="63"/>
      <c r="BC8" s="9"/>
      <c r="BD8" s="63"/>
      <c r="BE8" s="9"/>
      <c r="BF8" s="63"/>
      <c r="BG8" s="9"/>
      <c r="BH8" s="51"/>
      <c r="BI8" s="9"/>
      <c r="BJ8" s="51"/>
      <c r="BK8" s="9"/>
      <c r="BL8" s="51"/>
      <c r="BM8" s="12">
        <f>SUM(C8:BL8)</f>
        <v>0</v>
      </c>
      <c r="BN8" s="105" t="s">
        <v>15</v>
      </c>
    </row>
    <row r="9" s="31" customFormat="1" spans="1:66">
      <c r="A9" s="9"/>
      <c r="B9" s="106" t="s">
        <v>16</v>
      </c>
      <c r="C9" s="9"/>
      <c r="D9" s="63"/>
      <c r="E9" s="51"/>
      <c r="F9" s="51"/>
      <c r="G9" s="9"/>
      <c r="H9" s="63"/>
      <c r="I9" s="51"/>
      <c r="J9" s="63"/>
      <c r="K9" s="51"/>
      <c r="L9" s="63"/>
      <c r="M9" s="51"/>
      <c r="N9" s="63"/>
      <c r="O9" s="51"/>
      <c r="P9" s="63"/>
      <c r="Q9" s="51"/>
      <c r="R9" s="63"/>
      <c r="S9" s="9"/>
      <c r="T9" s="63"/>
      <c r="U9" s="51"/>
      <c r="V9" s="63"/>
      <c r="W9" s="9"/>
      <c r="X9" s="63"/>
      <c r="Y9" s="9"/>
      <c r="Z9" s="51"/>
      <c r="AA9" s="9"/>
      <c r="AB9" s="51"/>
      <c r="AC9" s="9"/>
      <c r="AD9" s="51"/>
      <c r="AE9" s="9"/>
      <c r="AF9" s="51"/>
      <c r="AG9" s="9" t="s">
        <v>197</v>
      </c>
      <c r="AH9" s="51">
        <v>108.88</v>
      </c>
      <c r="AI9" s="9"/>
      <c r="AJ9" s="51"/>
      <c r="AK9" s="9"/>
      <c r="AL9" s="51"/>
      <c r="AM9" s="9"/>
      <c r="AN9" s="51"/>
      <c r="AO9" s="9"/>
      <c r="AP9" s="51"/>
      <c r="AQ9" s="9" t="s">
        <v>198</v>
      </c>
      <c r="AR9" s="51">
        <v>20</v>
      </c>
      <c r="AS9" s="9"/>
      <c r="AT9" s="51"/>
      <c r="AU9" s="9"/>
      <c r="AV9" s="63"/>
      <c r="AW9" s="51"/>
      <c r="AX9" s="63"/>
      <c r="AY9" s="9"/>
      <c r="AZ9" s="63">
        <v>24</v>
      </c>
      <c r="BA9" s="9"/>
      <c r="BB9" s="63">
        <v>12</v>
      </c>
      <c r="BC9" s="9"/>
      <c r="BD9" s="63"/>
      <c r="BE9" s="9" t="s">
        <v>199</v>
      </c>
      <c r="BF9" s="63">
        <v>188.77</v>
      </c>
      <c r="BG9" s="9"/>
      <c r="BH9" s="51"/>
      <c r="BI9" s="9"/>
      <c r="BJ9" s="51"/>
      <c r="BK9" s="9"/>
      <c r="BL9" s="51"/>
      <c r="BM9" s="12">
        <f t="shared" ref="BM9:BM21" si="0">SUM(C9:BL9)</f>
        <v>353.65</v>
      </c>
      <c r="BN9" s="106" t="s">
        <v>16</v>
      </c>
    </row>
    <row r="10" s="31" customFormat="1" spans="1:66">
      <c r="A10" s="9"/>
      <c r="B10" s="107" t="s">
        <v>21</v>
      </c>
      <c r="C10" s="9"/>
      <c r="D10" s="63"/>
      <c r="E10" s="51"/>
      <c r="F10" s="51"/>
      <c r="G10" s="9"/>
      <c r="H10" s="63"/>
      <c r="I10" s="51"/>
      <c r="J10" s="51"/>
      <c r="K10" s="9"/>
      <c r="L10" s="63"/>
      <c r="M10" s="9"/>
      <c r="N10" s="63"/>
      <c r="O10" s="9"/>
      <c r="P10" s="63"/>
      <c r="Q10" s="9"/>
      <c r="R10" s="63"/>
      <c r="S10" s="9"/>
      <c r="T10" s="63"/>
      <c r="U10" s="51"/>
      <c r="V10" s="63"/>
      <c r="W10" s="9" t="s">
        <v>200</v>
      </c>
      <c r="X10" s="63">
        <v>200</v>
      </c>
      <c r="Y10" s="9"/>
      <c r="Z10" s="51"/>
      <c r="AA10" s="9"/>
      <c r="AB10" s="51"/>
      <c r="AC10" s="9"/>
      <c r="AD10" s="51"/>
      <c r="AE10" s="9"/>
      <c r="AF10" s="51"/>
      <c r="AG10" s="9" t="s">
        <v>201</v>
      </c>
      <c r="AH10" s="51">
        <v>20.7</v>
      </c>
      <c r="AI10" s="9" t="s">
        <v>66</v>
      </c>
      <c r="AJ10" s="51">
        <v>6</v>
      </c>
      <c r="AK10" s="9" t="s">
        <v>138</v>
      </c>
      <c r="AL10" s="51">
        <v>19</v>
      </c>
      <c r="AM10" s="9"/>
      <c r="AN10" s="51"/>
      <c r="AO10" s="9"/>
      <c r="AP10" s="51"/>
      <c r="AQ10" s="9"/>
      <c r="AR10" s="51"/>
      <c r="AS10" s="9"/>
      <c r="AT10" s="51">
        <v>4.8</v>
      </c>
      <c r="AU10" s="9"/>
      <c r="AV10" s="63"/>
      <c r="AW10" s="51"/>
      <c r="AX10" s="63"/>
      <c r="AY10" s="9"/>
      <c r="AZ10" s="63"/>
      <c r="BA10" s="9"/>
      <c r="BB10" s="63"/>
      <c r="BC10" s="9"/>
      <c r="BD10" s="63"/>
      <c r="BE10" s="9"/>
      <c r="BF10" s="63"/>
      <c r="BG10" s="9"/>
      <c r="BH10" s="51"/>
      <c r="BI10" s="9"/>
      <c r="BJ10" s="51"/>
      <c r="BK10" s="9" t="s">
        <v>202</v>
      </c>
      <c r="BL10" s="51">
        <v>200</v>
      </c>
      <c r="BM10" s="12">
        <f t="shared" si="0"/>
        <v>450.5</v>
      </c>
      <c r="BN10" s="107" t="s">
        <v>21</v>
      </c>
    </row>
    <row r="11" s="31" customFormat="1" spans="1:66">
      <c r="A11" s="9"/>
      <c r="B11" s="107" t="s">
        <v>26</v>
      </c>
      <c r="C11" s="9" t="s">
        <v>203</v>
      </c>
      <c r="D11" s="51">
        <v>1200</v>
      </c>
      <c r="E11" s="9"/>
      <c r="F11" s="63"/>
      <c r="G11" s="9" t="s">
        <v>204</v>
      </c>
      <c r="H11" s="63">
        <f>67+68</f>
        <v>135</v>
      </c>
      <c r="I11" s="9" t="s">
        <v>205</v>
      </c>
      <c r="J11" s="63">
        <f>360+170+260</f>
        <v>790</v>
      </c>
      <c r="K11" s="9" t="s">
        <v>206</v>
      </c>
      <c r="L11" s="63">
        <v>136</v>
      </c>
      <c r="M11" s="9" t="s">
        <v>207</v>
      </c>
      <c r="N11" s="63">
        <f>60+160</f>
        <v>220</v>
      </c>
      <c r="O11" s="9"/>
      <c r="P11" s="63"/>
      <c r="Q11" s="9" t="s">
        <v>208</v>
      </c>
      <c r="R11" s="63">
        <v>360</v>
      </c>
      <c r="S11" s="9"/>
      <c r="T11" s="63"/>
      <c r="U11" s="51"/>
      <c r="V11" s="63"/>
      <c r="W11" s="9"/>
      <c r="X11" s="63"/>
      <c r="Y11" s="9"/>
      <c r="Z11" s="51"/>
      <c r="AA11" s="9"/>
      <c r="AB11" s="51"/>
      <c r="AC11" s="9"/>
      <c r="AD11" s="51"/>
      <c r="AE11" s="9"/>
      <c r="AF11" s="51"/>
      <c r="AG11" s="9"/>
      <c r="AH11" s="51"/>
      <c r="AI11" s="9"/>
      <c r="AJ11" s="51"/>
      <c r="AK11" s="9"/>
      <c r="AL11" s="51"/>
      <c r="AM11" s="9"/>
      <c r="AN11" s="51"/>
      <c r="AO11" s="9"/>
      <c r="AP11" s="51"/>
      <c r="AQ11" s="9"/>
      <c r="AR11" s="51"/>
      <c r="AS11" s="9"/>
      <c r="AT11" s="51"/>
      <c r="AU11" s="9"/>
      <c r="AV11" s="63"/>
      <c r="AW11" s="51"/>
      <c r="AX11" s="63"/>
      <c r="AY11" s="9"/>
      <c r="AZ11" s="63"/>
      <c r="BA11" s="9"/>
      <c r="BB11" s="63"/>
      <c r="BC11" s="9"/>
      <c r="BD11" s="63"/>
      <c r="BE11" s="9"/>
      <c r="BF11" s="63"/>
      <c r="BG11" s="9"/>
      <c r="BH11" s="51"/>
      <c r="BI11" s="9"/>
      <c r="BJ11" s="51"/>
      <c r="BK11" s="9"/>
      <c r="BL11" s="51"/>
      <c r="BM11" s="12">
        <f t="shared" si="0"/>
        <v>2841</v>
      </c>
      <c r="BN11" s="107" t="s">
        <v>26</v>
      </c>
    </row>
    <row r="12" s="31" customFormat="1" spans="1:66">
      <c r="A12" s="9"/>
      <c r="B12" s="107" t="s">
        <v>29</v>
      </c>
      <c r="C12" s="9" t="s">
        <v>118</v>
      </c>
      <c r="D12" s="63">
        <v>199</v>
      </c>
      <c r="E12" s="9"/>
      <c r="F12" s="63"/>
      <c r="G12" s="9" t="s">
        <v>118</v>
      </c>
      <c r="H12" s="63">
        <v>241</v>
      </c>
      <c r="I12" s="51" t="s">
        <v>118</v>
      </c>
      <c r="J12" s="63">
        <v>232.3</v>
      </c>
      <c r="K12" s="51" t="s">
        <v>118</v>
      </c>
      <c r="L12" s="63">
        <v>232.3</v>
      </c>
      <c r="M12" s="64" t="s">
        <v>118</v>
      </c>
      <c r="N12" s="65">
        <v>232.3</v>
      </c>
      <c r="O12" s="51" t="s">
        <v>118</v>
      </c>
      <c r="P12" s="63">
        <v>177</v>
      </c>
      <c r="Q12" s="51" t="s">
        <v>118</v>
      </c>
      <c r="R12" s="63">
        <v>184</v>
      </c>
      <c r="S12" s="9"/>
      <c r="T12" s="63"/>
      <c r="U12" s="51"/>
      <c r="V12" s="63"/>
      <c r="W12" s="9"/>
      <c r="X12" s="63"/>
      <c r="Y12" s="9"/>
      <c r="Z12" s="51"/>
      <c r="AA12" s="9"/>
      <c r="AB12" s="51"/>
      <c r="AC12" s="9"/>
      <c r="AD12" s="51"/>
      <c r="AE12" s="9"/>
      <c r="AF12" s="51"/>
      <c r="AG12" s="9"/>
      <c r="AH12" s="51"/>
      <c r="AI12" s="9"/>
      <c r="AJ12" s="51"/>
      <c r="AK12" s="9"/>
      <c r="AL12" s="51"/>
      <c r="AM12" s="9" t="s">
        <v>179</v>
      </c>
      <c r="AN12" s="51">
        <v>69</v>
      </c>
      <c r="AO12" s="9" t="s">
        <v>118</v>
      </c>
      <c r="AP12" s="51">
        <v>83</v>
      </c>
      <c r="AQ12" s="9"/>
      <c r="AR12" s="51"/>
      <c r="AS12" s="9"/>
      <c r="AT12" s="51"/>
      <c r="AU12" s="9"/>
      <c r="AV12" s="63"/>
      <c r="AW12" s="51"/>
      <c r="AX12" s="63"/>
      <c r="AY12" s="9"/>
      <c r="AZ12" s="63"/>
      <c r="BA12" s="9"/>
      <c r="BB12" s="63"/>
      <c r="BC12" s="9"/>
      <c r="BD12" s="63"/>
      <c r="BE12" s="9"/>
      <c r="BF12" s="63"/>
      <c r="BG12" s="9"/>
      <c r="BH12" s="51"/>
      <c r="BI12" s="9"/>
      <c r="BJ12" s="51"/>
      <c r="BK12" s="9"/>
      <c r="BL12" s="51"/>
      <c r="BM12" s="12">
        <f t="shared" si="0"/>
        <v>1649.9</v>
      </c>
      <c r="BN12" s="107" t="s">
        <v>29</v>
      </c>
    </row>
    <row r="13" s="31" customFormat="1" spans="1:66">
      <c r="A13" s="14" t="s">
        <v>30</v>
      </c>
      <c r="B13" s="108" t="s">
        <v>31</v>
      </c>
      <c r="C13" s="48"/>
      <c r="D13" s="10"/>
      <c r="E13" s="10"/>
      <c r="F13" s="10"/>
      <c r="G13" s="10"/>
      <c r="H13" s="10"/>
      <c r="I13" s="10"/>
      <c r="J13" s="10"/>
      <c r="K13" s="10"/>
      <c r="L13" s="10"/>
      <c r="M13" s="9" t="s">
        <v>209</v>
      </c>
      <c r="N13" s="63">
        <v>19</v>
      </c>
      <c r="O13" s="10"/>
      <c r="P13" s="10"/>
      <c r="Q13" s="10"/>
      <c r="R13" s="10"/>
      <c r="S13" s="10"/>
      <c r="T13" s="10"/>
      <c r="U13" s="48"/>
      <c r="V13" s="14"/>
      <c r="W13" s="10" t="s">
        <v>210</v>
      </c>
      <c r="X13" s="14">
        <v>23</v>
      </c>
      <c r="Y13" s="10"/>
      <c r="Z13" s="14"/>
      <c r="AA13" s="10"/>
      <c r="AB13" s="14"/>
      <c r="AC13" s="10"/>
      <c r="AD13" s="14"/>
      <c r="AE13" s="10"/>
      <c r="AF13" s="14"/>
      <c r="AG13" s="10"/>
      <c r="AH13" s="14"/>
      <c r="AI13" s="10"/>
      <c r="AJ13" s="14"/>
      <c r="AK13" s="10"/>
      <c r="AL13" s="14"/>
      <c r="AM13" s="10"/>
      <c r="AN13" s="14"/>
      <c r="AO13" s="10"/>
      <c r="AP13" s="14"/>
      <c r="AQ13" s="10" t="s">
        <v>211</v>
      </c>
      <c r="AR13" s="14">
        <f>100.8+3</f>
        <v>103.8</v>
      </c>
      <c r="AS13" s="10"/>
      <c r="AT13" s="14"/>
      <c r="AU13" s="10"/>
      <c r="AV13" s="10"/>
      <c r="AW13" s="48"/>
      <c r="AX13" s="14"/>
      <c r="AY13" s="10"/>
      <c r="AZ13" s="14"/>
      <c r="BA13" s="10" t="s">
        <v>32</v>
      </c>
      <c r="BB13" s="14">
        <v>69</v>
      </c>
      <c r="BC13" s="10"/>
      <c r="BD13" s="14">
        <v>13.6</v>
      </c>
      <c r="BE13" s="10" t="s">
        <v>212</v>
      </c>
      <c r="BF13" s="14">
        <v>380</v>
      </c>
      <c r="BG13" s="10"/>
      <c r="BH13" s="14"/>
      <c r="BI13" s="10"/>
      <c r="BJ13" s="14"/>
      <c r="BK13" s="10"/>
      <c r="BL13" s="14"/>
      <c r="BM13" s="7">
        <f t="shared" si="0"/>
        <v>608.4</v>
      </c>
      <c r="BN13" s="108" t="s">
        <v>31</v>
      </c>
    </row>
    <row r="14" s="31" customFormat="1" spans="1:66">
      <c r="A14" s="14" t="s">
        <v>35</v>
      </c>
      <c r="B14" s="109" t="s">
        <v>36</v>
      </c>
      <c r="C14" s="48" t="s">
        <v>213</v>
      </c>
      <c r="D14" s="10">
        <v>200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48"/>
      <c r="V14" s="14"/>
      <c r="W14" s="10"/>
      <c r="X14" s="14"/>
      <c r="Y14" s="10"/>
      <c r="Z14" s="14"/>
      <c r="AA14" s="10"/>
      <c r="AB14" s="14"/>
      <c r="AC14" s="10"/>
      <c r="AD14" s="14"/>
      <c r="AE14" s="10"/>
      <c r="AF14" s="14"/>
      <c r="AG14" s="10"/>
      <c r="AH14" s="14"/>
      <c r="AI14" s="10"/>
      <c r="AJ14" s="14"/>
      <c r="AK14" s="10"/>
      <c r="AL14" s="14"/>
      <c r="AM14" s="10"/>
      <c r="AN14" s="14"/>
      <c r="AO14" s="10"/>
      <c r="AP14" s="14"/>
      <c r="AQ14" s="10"/>
      <c r="AR14" s="14"/>
      <c r="AS14" s="10"/>
      <c r="AT14" s="14"/>
      <c r="AU14" s="10"/>
      <c r="AV14" s="10"/>
      <c r="AW14" s="48"/>
      <c r="AX14" s="14"/>
      <c r="AY14" s="10"/>
      <c r="AZ14" s="14"/>
      <c r="BA14" s="10"/>
      <c r="BB14" s="14"/>
      <c r="BC14" s="10"/>
      <c r="BD14" s="14"/>
      <c r="BE14" s="10"/>
      <c r="BF14" s="14"/>
      <c r="BG14" s="10"/>
      <c r="BH14" s="14"/>
      <c r="BI14" s="10"/>
      <c r="BJ14" s="14"/>
      <c r="BK14" s="10"/>
      <c r="BL14" s="14"/>
      <c r="BM14" s="7">
        <f t="shared" si="0"/>
        <v>200</v>
      </c>
      <c r="BN14" s="109" t="s">
        <v>36</v>
      </c>
    </row>
    <row r="15" s="31" customFormat="1" spans="1:66">
      <c r="A15" s="14" t="s">
        <v>38</v>
      </c>
      <c r="B15" s="110" t="s">
        <v>39</v>
      </c>
      <c r="C15" s="48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48" t="s">
        <v>214</v>
      </c>
      <c r="V15" s="14">
        <v>448.9</v>
      </c>
      <c r="W15" s="10" t="s">
        <v>210</v>
      </c>
      <c r="X15" s="14">
        <v>23</v>
      </c>
      <c r="Y15" s="10"/>
      <c r="Z15" s="14"/>
      <c r="AA15" s="10"/>
      <c r="AB15" s="14"/>
      <c r="AC15" s="10"/>
      <c r="AD15" s="14"/>
      <c r="AE15" s="10"/>
      <c r="AF15" s="14"/>
      <c r="AG15" s="10"/>
      <c r="AH15" s="14"/>
      <c r="AI15" s="10"/>
      <c r="AJ15" s="14"/>
      <c r="AK15" s="10"/>
      <c r="AL15" s="14"/>
      <c r="AM15" s="10"/>
      <c r="AN15" s="14"/>
      <c r="AO15" s="10"/>
      <c r="AP15" s="14"/>
      <c r="AQ15" s="10" t="s">
        <v>215</v>
      </c>
      <c r="AR15" s="14">
        <f>97+156.09</f>
        <v>253.09</v>
      </c>
      <c r="AS15" s="10" t="s">
        <v>216</v>
      </c>
      <c r="AT15" s="14">
        <v>85</v>
      </c>
      <c r="AU15" s="10" t="s">
        <v>217</v>
      </c>
      <c r="AV15" s="10">
        <f>32.9+19.21+39.79</f>
        <v>91.9</v>
      </c>
      <c r="AW15" s="48"/>
      <c r="AX15" s="14"/>
      <c r="AY15" s="10"/>
      <c r="AZ15" s="14"/>
      <c r="BA15" s="10"/>
      <c r="BB15" s="14"/>
      <c r="BC15" s="10" t="s">
        <v>218</v>
      </c>
      <c r="BD15" s="14">
        <v>9.61</v>
      </c>
      <c r="BE15" s="10"/>
      <c r="BF15" s="14"/>
      <c r="BG15" s="10"/>
      <c r="BH15" s="14"/>
      <c r="BI15" s="10"/>
      <c r="BJ15" s="14"/>
      <c r="BK15" s="10"/>
      <c r="BL15" s="14"/>
      <c r="BM15" s="7">
        <f t="shared" si="0"/>
        <v>911.5</v>
      </c>
      <c r="BN15" s="110" t="s">
        <v>39</v>
      </c>
    </row>
    <row r="16" s="31" customFormat="1" spans="1:66">
      <c r="A16" s="14" t="s">
        <v>42</v>
      </c>
      <c r="B16" s="108" t="s">
        <v>43</v>
      </c>
      <c r="C16" s="48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48"/>
      <c r="V16" s="14"/>
      <c r="W16" s="10"/>
      <c r="X16" s="14"/>
      <c r="Y16" s="10"/>
      <c r="Z16" s="14"/>
      <c r="AA16" s="10" t="s">
        <v>83</v>
      </c>
      <c r="AB16" s="14">
        <v>21</v>
      </c>
      <c r="AC16" s="10"/>
      <c r="AD16" s="14"/>
      <c r="AE16" s="10"/>
      <c r="AF16" s="14"/>
      <c r="AG16" s="10"/>
      <c r="AH16" s="14"/>
      <c r="AI16" s="10"/>
      <c r="AJ16" s="14"/>
      <c r="AK16" s="10"/>
      <c r="AL16" s="14"/>
      <c r="AM16" s="10"/>
      <c r="AN16" s="14"/>
      <c r="AO16" s="10"/>
      <c r="AP16" s="14"/>
      <c r="AQ16" s="10"/>
      <c r="AR16" s="14"/>
      <c r="AS16" s="10"/>
      <c r="AT16" s="14"/>
      <c r="AU16" s="10"/>
      <c r="AV16" s="10"/>
      <c r="AW16" s="48"/>
      <c r="AX16" s="14"/>
      <c r="AY16" s="10" t="s">
        <v>83</v>
      </c>
      <c r="AZ16" s="14">
        <v>56.8</v>
      </c>
      <c r="BA16" s="10"/>
      <c r="BB16" s="14"/>
      <c r="BC16" s="10"/>
      <c r="BD16" s="14"/>
      <c r="BE16" s="10" t="s">
        <v>219</v>
      </c>
      <c r="BF16" s="14">
        <v>26.5</v>
      </c>
      <c r="BG16" s="10"/>
      <c r="BH16" s="14"/>
      <c r="BI16" s="10"/>
      <c r="BJ16" s="14"/>
      <c r="BK16" s="10"/>
      <c r="BL16" s="14"/>
      <c r="BM16" s="7">
        <f t="shared" si="0"/>
        <v>104.3</v>
      </c>
      <c r="BN16" s="108" t="s">
        <v>43</v>
      </c>
    </row>
    <row r="17" s="31" customFormat="1" spans="1:66">
      <c r="A17" s="14" t="s">
        <v>45</v>
      </c>
      <c r="B17" s="10" t="s">
        <v>46</v>
      </c>
      <c r="C17" s="48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48"/>
      <c r="V17" s="14"/>
      <c r="W17" s="10"/>
      <c r="X17" s="14"/>
      <c r="Y17" s="10"/>
      <c r="Z17" s="14"/>
      <c r="AA17" s="10"/>
      <c r="AB17" s="14"/>
      <c r="AC17" s="10"/>
      <c r="AD17" s="14"/>
      <c r="AE17" s="10"/>
      <c r="AF17" s="14"/>
      <c r="AG17" s="10"/>
      <c r="AH17" s="14"/>
      <c r="AI17" s="10"/>
      <c r="AJ17" s="14"/>
      <c r="AK17" s="10"/>
      <c r="AL17" s="14"/>
      <c r="AM17" s="10"/>
      <c r="AN17" s="14"/>
      <c r="AO17" s="10"/>
      <c r="AP17" s="14"/>
      <c r="AQ17" s="10"/>
      <c r="AR17" s="14"/>
      <c r="AS17" s="10"/>
      <c r="AT17" s="14"/>
      <c r="AU17" s="10"/>
      <c r="AV17" s="10"/>
      <c r="AW17" s="48"/>
      <c r="AX17" s="14"/>
      <c r="AY17" s="10"/>
      <c r="AZ17" s="14"/>
      <c r="BA17" s="10"/>
      <c r="BB17" s="14"/>
      <c r="BC17" s="10"/>
      <c r="BD17" s="14"/>
      <c r="BE17" s="10"/>
      <c r="BF17" s="14"/>
      <c r="BG17" s="10"/>
      <c r="BH17" s="14"/>
      <c r="BI17" s="10"/>
      <c r="BJ17" s="14"/>
      <c r="BK17" s="10"/>
      <c r="BL17" s="14"/>
      <c r="BM17" s="7">
        <f t="shared" si="0"/>
        <v>0</v>
      </c>
      <c r="BN17" s="10" t="s">
        <v>46</v>
      </c>
    </row>
    <row r="18" s="31" customFormat="1" ht="17" spans="1:66">
      <c r="A18" s="14"/>
      <c r="B18" s="111" t="s">
        <v>47</v>
      </c>
      <c r="C18" s="10">
        <f>SUM(D3:D16)</f>
        <v>1629.75</v>
      </c>
      <c r="D18" s="10"/>
      <c r="E18" s="10">
        <f>SUM(F3:F16)</f>
        <v>0</v>
      </c>
      <c r="F18" s="10"/>
      <c r="G18" s="10">
        <f>SUM(H3:H16)</f>
        <v>547.68</v>
      </c>
      <c r="H18" s="10"/>
      <c r="I18" s="10">
        <f>SUM(J3:J16)</f>
        <v>1186.3</v>
      </c>
      <c r="J18" s="10"/>
      <c r="K18" s="10">
        <f>SUM(L3:L16)</f>
        <v>587.3</v>
      </c>
      <c r="L18" s="10"/>
      <c r="M18" s="10">
        <f>SUM(N3:N16)</f>
        <v>575.3</v>
      </c>
      <c r="N18" s="10"/>
      <c r="O18" s="10">
        <f>SUM(P3:P16)</f>
        <v>213</v>
      </c>
      <c r="P18" s="10"/>
      <c r="Q18" s="10">
        <f>SUM(R3:R16)</f>
        <v>627.13</v>
      </c>
      <c r="R18" s="10"/>
      <c r="S18" s="10">
        <f>SUM(T3:T16)</f>
        <v>455.74</v>
      </c>
      <c r="T18" s="10"/>
      <c r="U18" s="10">
        <f>SUM(V3:V16)</f>
        <v>487.9</v>
      </c>
      <c r="V18" s="10"/>
      <c r="W18" s="10">
        <f>SUM(X3:X16)</f>
        <v>246</v>
      </c>
      <c r="X18" s="10"/>
      <c r="Y18" s="10">
        <f>SUM(Z3:Z16)</f>
        <v>0</v>
      </c>
      <c r="Z18" s="10"/>
      <c r="AA18" s="10">
        <f>SUM(AB3:AB16)</f>
        <v>21</v>
      </c>
      <c r="AB18" s="10"/>
      <c r="AC18" s="10">
        <f>SUM(AD3:AD16)</f>
        <v>0</v>
      </c>
      <c r="AD18" s="10"/>
      <c r="AE18" s="10">
        <f>SUM(AF3:AF16)</f>
        <v>0</v>
      </c>
      <c r="AF18" s="10"/>
      <c r="AG18" s="10">
        <f>SUM(AH3:AH16)</f>
        <v>129.58</v>
      </c>
      <c r="AH18" s="10"/>
      <c r="AI18" s="10">
        <f>SUM(AJ3:AJ16)</f>
        <v>6</v>
      </c>
      <c r="AJ18" s="10"/>
      <c r="AK18" s="10">
        <f>SUM(AL3:AL16)</f>
        <v>19</v>
      </c>
      <c r="AL18" s="10"/>
      <c r="AM18" s="10">
        <f>SUM(AN3:AN16)</f>
        <v>113.14</v>
      </c>
      <c r="AN18" s="10"/>
      <c r="AO18" s="10">
        <f>SUM(AP3:AP16)</f>
        <v>171</v>
      </c>
      <c r="AP18" s="10"/>
      <c r="AQ18" s="10">
        <f>SUM(AR3:AR16)</f>
        <v>398.89</v>
      </c>
      <c r="AR18" s="10"/>
      <c r="AS18" s="10">
        <f>SUM(AT3:AT16)</f>
        <v>117.3</v>
      </c>
      <c r="AT18" s="10"/>
      <c r="AU18" s="10">
        <f>SUM(AV3:AV16)</f>
        <v>126.9</v>
      </c>
      <c r="AV18" s="10"/>
      <c r="AW18" s="10">
        <f>SUM(AX3:AX16)</f>
        <v>25.5</v>
      </c>
      <c r="AX18" s="10"/>
      <c r="AY18" s="10">
        <f>SUM(AZ3:AZ16)</f>
        <v>110.3</v>
      </c>
      <c r="AZ18" s="10"/>
      <c r="BA18" s="10">
        <f>SUM(BB3:BB16)</f>
        <v>112.5</v>
      </c>
      <c r="BB18" s="10"/>
      <c r="BC18" s="10">
        <f>SUM(BD3:BD16)</f>
        <v>53.21</v>
      </c>
      <c r="BD18" s="10"/>
      <c r="BE18" s="10">
        <f>SUM(BF3:BF16)</f>
        <v>650.77</v>
      </c>
      <c r="BF18" s="10"/>
      <c r="BG18" s="10">
        <f>SUM(BH3:BH16)</f>
        <v>55.9</v>
      </c>
      <c r="BH18" s="10"/>
      <c r="BI18" s="10">
        <f>SUM(BJ3:BJ16)</f>
        <v>33.6</v>
      </c>
      <c r="BJ18" s="10"/>
      <c r="BK18" s="10">
        <f>SUM(BL3:BL16)</f>
        <v>227</v>
      </c>
      <c r="BL18" s="10"/>
      <c r="BM18" s="7">
        <f t="shared" si="0"/>
        <v>8927.69</v>
      </c>
      <c r="BN18" s="111" t="s">
        <v>47</v>
      </c>
    </row>
    <row r="19" s="31" customFormat="1" ht="17" spans="1:66">
      <c r="A19" s="14" t="s">
        <v>48</v>
      </c>
      <c r="B19" s="85" t="s">
        <v>49</v>
      </c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10"/>
      <c r="Y19" s="10"/>
      <c r="Z19" s="85"/>
      <c r="AA19" s="85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68"/>
      <c r="BE19" s="68"/>
      <c r="BF19" s="68"/>
      <c r="BG19" s="68"/>
      <c r="BH19" s="68"/>
      <c r="BI19" s="68"/>
      <c r="BJ19" s="68"/>
      <c r="BK19" s="68"/>
      <c r="BL19" s="68"/>
      <c r="BM19" s="7">
        <f t="shared" si="0"/>
        <v>0</v>
      </c>
      <c r="BN19" s="128" t="s">
        <v>49</v>
      </c>
    </row>
    <row r="20" s="31" customFormat="1" ht="17" spans="1:67">
      <c r="A20" s="51"/>
      <c r="B20" s="85" t="s">
        <v>51</v>
      </c>
      <c r="C20" s="10"/>
      <c r="D20" s="10"/>
      <c r="E20" s="116"/>
      <c r="F20" s="117"/>
      <c r="G20" s="68"/>
      <c r="H20" s="68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10"/>
      <c r="Y20" s="10"/>
      <c r="Z20" s="85"/>
      <c r="AA20" s="85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68"/>
      <c r="BE20" s="68"/>
      <c r="BF20" s="68"/>
      <c r="BG20" s="68"/>
      <c r="BH20" s="68"/>
      <c r="BI20" s="68"/>
      <c r="BJ20" s="68"/>
      <c r="BK20" s="68"/>
      <c r="BL20" s="68"/>
      <c r="BM20" s="7">
        <f t="shared" si="0"/>
        <v>0</v>
      </c>
      <c r="BN20" s="128" t="s">
        <v>51</v>
      </c>
      <c r="BO20" s="51"/>
    </row>
    <row r="21" s="31" customFormat="1" ht="17" spans="1:67">
      <c r="A21" s="51"/>
      <c r="B21" s="85" t="s">
        <v>220</v>
      </c>
      <c r="C21" s="10" t="s">
        <v>221</v>
      </c>
      <c r="D21" s="10">
        <v>2300</v>
      </c>
      <c r="E21" s="116"/>
      <c r="F21" s="117"/>
      <c r="G21" s="68"/>
      <c r="H21" s="68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10"/>
      <c r="Y21" s="10"/>
      <c r="Z21" s="85"/>
      <c r="AA21" s="85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68"/>
      <c r="BE21" s="68"/>
      <c r="BF21" s="68"/>
      <c r="BG21" s="68"/>
      <c r="BH21" s="68"/>
      <c r="BI21" s="68"/>
      <c r="BJ21" s="68"/>
      <c r="BK21" s="68"/>
      <c r="BL21" s="68"/>
      <c r="BM21" s="7">
        <f t="shared" si="0"/>
        <v>2300</v>
      </c>
      <c r="BN21" s="18" t="s">
        <v>220</v>
      </c>
      <c r="BO21" s="51"/>
    </row>
    <row r="22" s="31" customFormat="1" spans="1:67">
      <c r="A22" s="51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122" t="s">
        <v>189</v>
      </c>
      <c r="O22" s="122"/>
      <c r="P22" s="122">
        <v>681.84</v>
      </c>
      <c r="Q22" s="53"/>
      <c r="R22" s="53"/>
      <c r="S22" s="53"/>
      <c r="T22" s="53"/>
      <c r="U22" s="53"/>
      <c r="V22" s="53"/>
      <c r="W22" s="53"/>
      <c r="X22" s="53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/>
      <c r="AQ22"/>
      <c r="AR22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73"/>
      <c r="BF22" s="73"/>
      <c r="BG22" s="73"/>
      <c r="BH22" s="73"/>
      <c r="BI22" s="73"/>
      <c r="BJ22" s="73"/>
      <c r="BK22" s="73"/>
      <c r="BL22" s="73"/>
      <c r="BM22" s="73"/>
      <c r="BN22" s="73"/>
      <c r="BO22" s="51"/>
    </row>
    <row r="23" s="31" customFormat="1" spans="1:66">
      <c r="A23" s="51"/>
      <c r="B23" s="10" t="s">
        <v>52</v>
      </c>
      <c r="C23" s="10" t="s">
        <v>53</v>
      </c>
      <c r="D23" s="10" t="s">
        <v>161</v>
      </c>
      <c r="E23" s="10" t="s">
        <v>161</v>
      </c>
      <c r="F23" s="52" t="s">
        <v>63</v>
      </c>
      <c r="G23" s="52" t="s">
        <v>222</v>
      </c>
      <c r="H23" s="20" t="s">
        <v>223</v>
      </c>
      <c r="I23" s="20" t="s">
        <v>134</v>
      </c>
      <c r="J23" s="20" t="s">
        <v>47</v>
      </c>
      <c r="K23" s="20"/>
      <c r="L23"/>
      <c r="M23"/>
      <c r="N23" s="123" t="s">
        <v>191</v>
      </c>
      <c r="O23" s="123"/>
      <c r="P23" s="123">
        <v>1718.9</v>
      </c>
      <c r="Q23" s="53"/>
      <c r="R23" s="53"/>
      <c r="S23" s="53"/>
      <c r="T23" s="53"/>
      <c r="U23" s="53"/>
      <c r="V23" s="53"/>
      <c r="W23" s="53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51"/>
    </row>
    <row r="24" s="31" customFormat="1" spans="1:66">
      <c r="A24" s="51"/>
      <c r="B24" s="2" t="s">
        <v>57</v>
      </c>
      <c r="C24" s="2">
        <v>44044</v>
      </c>
      <c r="D24" s="112">
        <v>44045</v>
      </c>
      <c r="E24" s="2">
        <v>44049</v>
      </c>
      <c r="F24" s="118">
        <v>44053</v>
      </c>
      <c r="G24" s="112">
        <v>44056</v>
      </c>
      <c r="H24" s="119">
        <v>44061</v>
      </c>
      <c r="I24" s="121">
        <v>44072</v>
      </c>
      <c r="J24" s="20" t="s">
        <v>98</v>
      </c>
      <c r="K24" s="20"/>
      <c r="L24"/>
      <c r="M24"/>
      <c r="N24" s="123" t="s">
        <v>192</v>
      </c>
      <c r="O24" s="123"/>
      <c r="P24" s="123">
        <v>922.46</v>
      </c>
      <c r="Q24" s="53"/>
      <c r="R24" s="53"/>
      <c r="S24" s="53"/>
      <c r="T24" s="53"/>
      <c r="U24" s="53"/>
      <c r="V24" s="53"/>
      <c r="W24" s="53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 s="51"/>
    </row>
    <row r="25" s="31" customFormat="1" spans="1:66">
      <c r="A25" s="51"/>
      <c r="B25" s="54" t="s">
        <v>60</v>
      </c>
      <c r="C25" s="113">
        <v>482.3</v>
      </c>
      <c r="D25" s="114">
        <v>900</v>
      </c>
      <c r="E25" s="113">
        <v>800</v>
      </c>
      <c r="F25" s="114">
        <v>500</v>
      </c>
      <c r="G25" s="114">
        <v>2000</v>
      </c>
      <c r="H25" s="120">
        <v>10400</v>
      </c>
      <c r="I25" s="120">
        <v>500</v>
      </c>
      <c r="J25" s="120">
        <f>SUM(C25:I25)</f>
        <v>15582.3</v>
      </c>
      <c r="K25" s="120"/>
      <c r="L25"/>
      <c r="M25"/>
      <c r="N25" s="123" t="s">
        <v>193</v>
      </c>
      <c r="O25" s="123"/>
      <c r="P25" s="123">
        <v>1691.63</v>
      </c>
      <c r="Q25" s="53"/>
      <c r="R25" s="53"/>
      <c r="S25" s="53"/>
      <c r="T25" s="53"/>
      <c r="U25" s="53"/>
      <c r="V25" s="53"/>
      <c r="W25" s="53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 s="51"/>
    </row>
    <row r="26" s="31" customFormat="1" spans="1:66">
      <c r="A26" s="51"/>
      <c r="B26" s="10" t="s">
        <v>61</v>
      </c>
      <c r="C26" s="10"/>
      <c r="D26" s="10"/>
      <c r="E26" s="10"/>
      <c r="F26" s="10"/>
      <c r="G26" s="10"/>
      <c r="H26" s="10"/>
      <c r="I26" s="10"/>
      <c r="J26" s="10"/>
      <c r="K26" s="10"/>
      <c r="L26" s="53"/>
      <c r="M26"/>
      <c r="N26" s="123" t="s">
        <v>224</v>
      </c>
      <c r="O26" s="123"/>
      <c r="P26" s="123">
        <v>5014.83</v>
      </c>
      <c r="Q26" s="53"/>
      <c r="R26" s="53"/>
      <c r="S26" s="53"/>
      <c r="T26" s="53"/>
      <c r="U26" s="53"/>
      <c r="V26" s="53"/>
      <c r="W26" s="53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</row>
    <row r="27" s="31" customFormat="1" spans="1:67">
      <c r="A27" s="51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</row>
    <row r="28" s="31" customFormat="1" spans="1:67">
      <c r="A28" s="51"/>
      <c r="B28"/>
      <c r="C28"/>
      <c r="D28"/>
      <c r="E28"/>
      <c r="F28"/>
      <c r="G28"/>
      <c r="H28"/>
      <c r="I28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</row>
    <row r="29" s="31" customFormat="1" spans="1:67">
      <c r="A29" s="51"/>
      <c r="B29"/>
      <c r="C29"/>
      <c r="D29"/>
      <c r="E29"/>
      <c r="F29"/>
      <c r="G29"/>
      <c r="H29"/>
      <c r="I29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</row>
    <row r="30" s="31" customFormat="1" spans="1:67">
      <c r="A30" s="51"/>
      <c r="B30"/>
      <c r="C30"/>
      <c r="D30"/>
      <c r="E30"/>
      <c r="F30"/>
      <c r="G30"/>
      <c r="H30"/>
      <c r="I30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</row>
    <row r="31" s="31" customFormat="1" spans="1:67">
      <c r="A31" s="51"/>
      <c r="B31" s="53"/>
      <c r="C31" s="53"/>
      <c r="D31" s="53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</row>
    <row r="32" s="31" customFormat="1" spans="1:67">
      <c r="A32" s="51"/>
      <c r="B32" s="53"/>
      <c r="C32" s="53"/>
      <c r="D32" s="53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</row>
    <row r="33" s="31" customFormat="1" spans="1:67">
      <c r="A33" s="51"/>
      <c r="B33" s="53"/>
      <c r="C33" s="53"/>
      <c r="D33" s="53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</row>
    <row r="34" s="31" customFormat="1" spans="1:67">
      <c r="A34" s="51"/>
      <c r="B34" s="53"/>
      <c r="C34" s="53"/>
      <c r="D34" s="53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</row>
    <row r="35" s="31" customFormat="1" spans="1:67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</row>
  </sheetData>
  <sheetProtection formatCells="0" insertHyperlinks="0" autoFilter="0"/>
  <mergeCells count="67">
    <mergeCell ref="C1:T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N18"/>
    <mergeCell ref="AO18:AP18"/>
    <mergeCell ref="AQ18:AR18"/>
    <mergeCell ref="AS18:AT18"/>
    <mergeCell ref="AU18:AV18"/>
    <mergeCell ref="AW18:AX18"/>
    <mergeCell ref="AY18:AZ18"/>
    <mergeCell ref="BA18:BB18"/>
    <mergeCell ref="BC18:BD18"/>
    <mergeCell ref="BE18:BF18"/>
    <mergeCell ref="BG18:BH18"/>
    <mergeCell ref="BI18:BJ18"/>
    <mergeCell ref="BK18:BL18"/>
    <mergeCell ref="C26:K26"/>
    <mergeCell ref="A3:A6"/>
    <mergeCell ref="A7:A12"/>
    <mergeCell ref="BM3:BM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L35"/>
  <sheetViews>
    <sheetView zoomScale="86" zoomScaleNormal="86" topLeftCell="AF1" workbookViewId="0">
      <selection activeCell="BD15" sqref="BD15"/>
    </sheetView>
  </sheetViews>
  <sheetFormatPr defaultColWidth="9.81730769230769" defaultRowHeight="16.8"/>
  <cols>
    <col min="1" max="1" width="3.84615384615385" style="31" customWidth="1"/>
    <col min="2" max="2" width="17.6153846153846" style="31" customWidth="1"/>
    <col min="3" max="3" width="16.7692307692308" style="31" customWidth="1"/>
    <col min="4" max="4" width="8.69230769230769" style="31" customWidth="1"/>
    <col min="5" max="5" width="9.66346153846154" style="31" customWidth="1"/>
    <col min="6" max="6" width="6.69230769230769" style="31" customWidth="1"/>
    <col min="7" max="7" width="10.7788461538462" style="31" customWidth="1"/>
    <col min="8" max="8" width="6.69230769230769" style="31" customWidth="1"/>
    <col min="9" max="9" width="10.3076923076923" style="31" customWidth="1"/>
    <col min="10" max="10" width="7.69230769230769" style="31" customWidth="1"/>
    <col min="11" max="11" width="10.3076923076923" style="31" customWidth="1"/>
    <col min="12" max="12" width="7.69230769230769" style="31" customWidth="1"/>
    <col min="13" max="13" width="11.8846153846154" style="31" customWidth="1"/>
    <col min="14" max="14" width="6.69230769230769" style="31" customWidth="1"/>
    <col min="15" max="15" width="5.66346153846154" style="31" customWidth="1"/>
    <col min="16" max="16" width="6.69230769230769" style="31" customWidth="1"/>
    <col min="17" max="17" width="9.66346153846154" style="31" customWidth="1"/>
    <col min="18" max="18" width="6.69230769230769" style="31" customWidth="1"/>
    <col min="19" max="19" width="16.4423076923077" style="31" customWidth="1"/>
    <col min="20" max="20" width="6.69230769230769" style="31" customWidth="1"/>
    <col min="21" max="21" width="6" style="31" customWidth="1"/>
    <col min="22" max="22" width="6.69230769230769" style="31" customWidth="1"/>
    <col min="23" max="23" width="7.66346153846154" style="31" customWidth="1"/>
    <col min="24" max="24" width="6.69230769230769" style="31" customWidth="1"/>
    <col min="25" max="25" width="6" style="31" customWidth="1"/>
    <col min="26" max="26" width="7.69230769230769" style="31" customWidth="1"/>
    <col min="27" max="27" width="6" style="31" customWidth="1"/>
    <col min="28" max="28" width="6.69230769230769" style="31" customWidth="1"/>
    <col min="29" max="29" width="9.66346153846154" style="31" customWidth="1"/>
    <col min="30" max="30" width="6.69230769230769" style="31" customWidth="1"/>
    <col min="31" max="31" width="6" style="31" customWidth="1"/>
    <col min="32" max="32" width="6.69230769230769" style="31" customWidth="1"/>
    <col min="33" max="33" width="9.66346153846154" style="31" customWidth="1"/>
    <col min="34" max="34" width="6.69230769230769" style="31" customWidth="1"/>
    <col min="35" max="35" width="7.66346153846154" style="31" customWidth="1"/>
    <col min="36" max="36" width="6.69230769230769" style="31" customWidth="1"/>
    <col min="37" max="37" width="5.66346153846154" style="31" customWidth="1"/>
    <col min="38" max="38" width="6.69230769230769" style="31" customWidth="1"/>
    <col min="39" max="39" width="6" style="31" customWidth="1"/>
    <col min="40" max="40" width="7.69230769230769" style="31" customWidth="1"/>
    <col min="41" max="41" width="5.66346153846154" style="31" customWidth="1"/>
    <col min="42" max="42" width="6.69230769230769" style="31" customWidth="1"/>
    <col min="43" max="43" width="13" style="31" customWidth="1"/>
    <col min="44" max="44" width="8.69230769230769" style="31" customWidth="1"/>
    <col min="45" max="45" width="9.66346153846154" style="31" customWidth="1"/>
    <col min="46" max="46" width="6.69230769230769" style="31" customWidth="1"/>
    <col min="47" max="47" width="20.8846153846154" style="31" customWidth="1"/>
    <col min="48" max="48" width="6.69230769230769" style="31" customWidth="1"/>
    <col min="49" max="49" width="11.0769230769231" style="31" customWidth="1"/>
    <col min="50" max="50" width="6.69230769230769" style="31" customWidth="1"/>
    <col min="51" max="51" width="3.84615384615385" style="31" customWidth="1"/>
    <col min="52" max="52" width="6.69230769230769" style="31" customWidth="1"/>
    <col min="53" max="53" width="6" style="31" customWidth="1"/>
    <col min="54" max="54" width="7.69230769230769" style="31" customWidth="1"/>
    <col min="55" max="55" width="11.0769230769231" style="31" customWidth="1"/>
    <col min="56" max="56" width="6.69230769230769" style="31" customWidth="1"/>
    <col min="57" max="57" width="8.15384615384615" style="31" customWidth="1"/>
    <col min="58" max="58" width="6.69230769230769" style="31" customWidth="1"/>
    <col min="59" max="59" width="9.66346153846154" style="31" customWidth="1"/>
    <col min="60" max="60" width="6.69230769230769" style="31" customWidth="1"/>
    <col min="61" max="61" width="7.66346153846154" style="31" customWidth="1"/>
    <col min="62" max="62" width="6.69230769230769" style="31" customWidth="1"/>
    <col min="63" max="63" width="9.15384615384615" style="31" customWidth="1"/>
    <col min="64" max="64" width="15.1538461538462" style="31" customWidth="1"/>
    <col min="65" max="14553" width="8.875" style="31"/>
  </cols>
  <sheetData>
    <row r="1" s="31" customFormat="1" spans="3:54">
      <c r="C1" s="82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4"/>
      <c r="BA1" s="96" t="s">
        <v>225</v>
      </c>
      <c r="BB1" s="97"/>
    </row>
    <row r="2" s="31" customFormat="1" spans="1:64">
      <c r="A2" s="1"/>
      <c r="B2" s="34" t="s">
        <v>1</v>
      </c>
      <c r="C2" s="35">
        <v>44075</v>
      </c>
      <c r="D2" s="36"/>
      <c r="E2" s="35">
        <v>44076</v>
      </c>
      <c r="F2" s="36"/>
      <c r="G2" s="35">
        <v>44077</v>
      </c>
      <c r="H2" s="36"/>
      <c r="I2" s="35">
        <v>44078</v>
      </c>
      <c r="J2" s="36"/>
      <c r="K2" s="35">
        <v>44079</v>
      </c>
      <c r="L2" s="36"/>
      <c r="M2" s="35">
        <v>44080</v>
      </c>
      <c r="N2" s="36"/>
      <c r="O2" s="35">
        <v>44081</v>
      </c>
      <c r="P2" s="36"/>
      <c r="Q2" s="35">
        <v>44082</v>
      </c>
      <c r="R2" s="36"/>
      <c r="S2" s="35">
        <v>44083</v>
      </c>
      <c r="T2" s="36"/>
      <c r="U2" s="35">
        <v>44084</v>
      </c>
      <c r="V2" s="36"/>
      <c r="W2" s="35">
        <v>44085</v>
      </c>
      <c r="X2" s="36"/>
      <c r="Y2" s="35">
        <v>44086</v>
      </c>
      <c r="Z2" s="36"/>
      <c r="AA2" s="35">
        <v>44087</v>
      </c>
      <c r="AB2" s="36"/>
      <c r="AC2" s="35">
        <v>44088</v>
      </c>
      <c r="AD2" s="36"/>
      <c r="AE2" s="35">
        <v>44089</v>
      </c>
      <c r="AF2" s="36"/>
      <c r="AG2" s="35">
        <v>44090</v>
      </c>
      <c r="AH2" s="36"/>
      <c r="AI2" s="35">
        <v>44091</v>
      </c>
      <c r="AJ2" s="36"/>
      <c r="AK2" s="35">
        <v>44092</v>
      </c>
      <c r="AL2" s="36"/>
      <c r="AM2" s="35">
        <v>44093</v>
      </c>
      <c r="AN2" s="36"/>
      <c r="AO2" s="35">
        <v>44094</v>
      </c>
      <c r="AP2" s="36"/>
      <c r="AQ2" s="35">
        <v>44095</v>
      </c>
      <c r="AR2" s="36"/>
      <c r="AS2" s="35">
        <v>44096</v>
      </c>
      <c r="AT2" s="36"/>
      <c r="AU2" s="35">
        <v>44097</v>
      </c>
      <c r="AV2" s="36"/>
      <c r="AW2" s="35">
        <v>44098</v>
      </c>
      <c r="AX2" s="36"/>
      <c r="AY2" s="35">
        <v>44099</v>
      </c>
      <c r="AZ2" s="36"/>
      <c r="BA2" s="35">
        <v>44100</v>
      </c>
      <c r="BB2" s="36"/>
      <c r="BC2" s="35">
        <v>44101</v>
      </c>
      <c r="BD2" s="36"/>
      <c r="BE2" s="35">
        <v>44102</v>
      </c>
      <c r="BF2" s="36"/>
      <c r="BG2" s="35">
        <v>44103</v>
      </c>
      <c r="BH2" s="36"/>
      <c r="BI2" s="35">
        <v>44104</v>
      </c>
      <c r="BJ2" s="36"/>
      <c r="BK2" s="2" t="s">
        <v>3</v>
      </c>
      <c r="BL2" s="34" t="s">
        <v>1</v>
      </c>
    </row>
    <row r="3" s="31" customFormat="1" spans="1:64">
      <c r="A3" s="9" t="s">
        <v>4</v>
      </c>
      <c r="B3" s="37" t="s">
        <v>5</v>
      </c>
      <c r="C3" s="38"/>
      <c r="D3" s="39"/>
      <c r="E3" s="57"/>
      <c r="F3" s="58"/>
      <c r="G3" s="40"/>
      <c r="H3" s="39"/>
      <c r="I3" s="38"/>
      <c r="J3" s="39"/>
      <c r="K3" s="38"/>
      <c r="L3" s="39"/>
      <c r="M3" s="38"/>
      <c r="N3" s="39">
        <v>9</v>
      </c>
      <c r="O3" s="38"/>
      <c r="P3" s="39"/>
      <c r="Q3" s="38"/>
      <c r="R3" s="39"/>
      <c r="S3" s="38"/>
      <c r="T3" s="39"/>
      <c r="U3" s="51"/>
      <c r="V3" s="63"/>
      <c r="W3" s="9"/>
      <c r="X3" s="63"/>
      <c r="Y3" s="9"/>
      <c r="Z3" s="51"/>
      <c r="AA3" s="9"/>
      <c r="AB3" s="51"/>
      <c r="AC3" s="9"/>
      <c r="AD3" s="51"/>
      <c r="AE3" s="9"/>
      <c r="AF3" s="51">
        <v>8</v>
      </c>
      <c r="AG3" s="9"/>
      <c r="AH3" s="51"/>
      <c r="AI3" s="9"/>
      <c r="AJ3" s="51"/>
      <c r="AK3" s="9"/>
      <c r="AL3" s="51"/>
      <c r="AM3" s="9"/>
      <c r="AN3" s="51"/>
      <c r="AO3" s="9"/>
      <c r="AP3" s="51"/>
      <c r="AQ3" s="9"/>
      <c r="AR3" s="51"/>
      <c r="AS3" s="9"/>
      <c r="AT3" s="51">
        <v>8</v>
      </c>
      <c r="AU3" s="9"/>
      <c r="AV3" s="63">
        <v>6.9</v>
      </c>
      <c r="AW3" s="51"/>
      <c r="AX3" s="63"/>
      <c r="AY3" s="9"/>
      <c r="AZ3" s="63"/>
      <c r="BA3" s="9"/>
      <c r="BB3" s="63">
        <v>45</v>
      </c>
      <c r="BC3" s="9"/>
      <c r="BD3" s="63"/>
      <c r="BE3" s="9"/>
      <c r="BF3" s="63"/>
      <c r="BG3" s="9"/>
      <c r="BH3" s="51"/>
      <c r="BI3" s="9"/>
      <c r="BJ3" s="51">
        <v>15</v>
      </c>
      <c r="BK3" s="7">
        <f>SUM(C3:BJ6)</f>
        <v>1092.2</v>
      </c>
      <c r="BL3" s="37" t="s">
        <v>5</v>
      </c>
    </row>
    <row r="4" s="31" customFormat="1" spans="1:64">
      <c r="A4" s="9"/>
      <c r="B4" s="37" t="s">
        <v>6</v>
      </c>
      <c r="C4" s="38"/>
      <c r="D4" s="39">
        <v>12</v>
      </c>
      <c r="E4" s="40"/>
      <c r="F4" s="39">
        <v>17</v>
      </c>
      <c r="G4" s="40"/>
      <c r="H4" s="39">
        <v>16.5</v>
      </c>
      <c r="I4" s="38"/>
      <c r="J4" s="39">
        <v>20</v>
      </c>
      <c r="K4" s="38"/>
      <c r="L4" s="39">
        <v>13</v>
      </c>
      <c r="M4" s="38"/>
      <c r="N4" s="39">
        <v>20</v>
      </c>
      <c r="O4" s="38"/>
      <c r="P4" s="39">
        <v>13</v>
      </c>
      <c r="Q4" s="38"/>
      <c r="R4" s="39">
        <v>11</v>
      </c>
      <c r="S4" s="38"/>
      <c r="T4" s="39">
        <v>20</v>
      </c>
      <c r="U4" s="51"/>
      <c r="V4" s="63">
        <v>11.5</v>
      </c>
      <c r="W4" s="9"/>
      <c r="X4" s="63">
        <v>16.5</v>
      </c>
      <c r="Y4" s="9"/>
      <c r="Z4" s="51"/>
      <c r="AA4" s="9"/>
      <c r="AB4" s="51"/>
      <c r="AC4" s="9"/>
      <c r="AD4" s="51">
        <v>14</v>
      </c>
      <c r="AE4" s="9"/>
      <c r="AF4" s="51">
        <v>13</v>
      </c>
      <c r="AG4" s="9"/>
      <c r="AH4" s="51">
        <v>13</v>
      </c>
      <c r="AI4" s="9"/>
      <c r="AJ4" s="51">
        <v>10</v>
      </c>
      <c r="AK4" s="9"/>
      <c r="AL4" s="51"/>
      <c r="AM4" s="9"/>
      <c r="AN4" s="51"/>
      <c r="AO4" s="9"/>
      <c r="AP4" s="51">
        <v>11</v>
      </c>
      <c r="AQ4" s="9"/>
      <c r="AR4" s="51">
        <v>16.5</v>
      </c>
      <c r="AS4" s="9"/>
      <c r="AT4" s="51">
        <v>13</v>
      </c>
      <c r="AU4" s="9"/>
      <c r="AV4" s="63">
        <v>12</v>
      </c>
      <c r="AW4" s="51"/>
      <c r="AX4" s="63">
        <v>11.5</v>
      </c>
      <c r="AY4" s="9"/>
      <c r="AZ4" s="63">
        <v>13</v>
      </c>
      <c r="BA4" s="9"/>
      <c r="BB4" s="63">
        <v>25</v>
      </c>
      <c r="BC4" s="9"/>
      <c r="BD4" s="63">
        <v>10</v>
      </c>
      <c r="BE4" s="9"/>
      <c r="BF4" s="63">
        <v>12</v>
      </c>
      <c r="BG4" s="9"/>
      <c r="BH4" s="51">
        <v>19</v>
      </c>
      <c r="BI4" s="9"/>
      <c r="BJ4" s="51">
        <v>20</v>
      </c>
      <c r="BK4" s="7"/>
      <c r="BL4" s="37" t="s">
        <v>6</v>
      </c>
    </row>
    <row r="5" s="31" customFormat="1" spans="1:64">
      <c r="A5" s="9"/>
      <c r="B5" s="37" t="s">
        <v>7</v>
      </c>
      <c r="C5" s="38"/>
      <c r="D5" s="40">
        <v>13.5</v>
      </c>
      <c r="E5" s="38"/>
      <c r="F5" s="40">
        <v>10</v>
      </c>
      <c r="G5" s="38"/>
      <c r="H5" s="40">
        <v>12.4</v>
      </c>
      <c r="I5" s="38"/>
      <c r="J5" s="39">
        <v>20</v>
      </c>
      <c r="K5" s="38"/>
      <c r="L5" s="39">
        <v>7</v>
      </c>
      <c r="M5" s="38"/>
      <c r="N5" s="39"/>
      <c r="O5" s="38"/>
      <c r="P5" s="39">
        <v>13.5</v>
      </c>
      <c r="Q5" s="38"/>
      <c r="R5" s="39">
        <v>13</v>
      </c>
      <c r="S5" s="38"/>
      <c r="T5" s="39"/>
      <c r="U5" s="51"/>
      <c r="V5" s="63">
        <v>9</v>
      </c>
      <c r="W5" s="9"/>
      <c r="X5" s="63">
        <v>26.9</v>
      </c>
      <c r="Y5" s="9"/>
      <c r="Z5" s="51"/>
      <c r="AA5" s="9"/>
      <c r="AB5" s="51"/>
      <c r="AC5" s="9"/>
      <c r="AD5" s="51">
        <v>13</v>
      </c>
      <c r="AE5" s="9"/>
      <c r="AF5" s="51"/>
      <c r="AG5" s="9"/>
      <c r="AH5" s="51">
        <v>12</v>
      </c>
      <c r="AI5" s="9"/>
      <c r="AJ5" s="51">
        <v>12.6</v>
      </c>
      <c r="AK5" s="9"/>
      <c r="AL5" s="51"/>
      <c r="AM5" s="9"/>
      <c r="AN5" s="51">
        <v>40</v>
      </c>
      <c r="AO5" s="9"/>
      <c r="AP5" s="51">
        <v>24.6</v>
      </c>
      <c r="AQ5" s="9"/>
      <c r="AR5" s="51">
        <v>13</v>
      </c>
      <c r="AS5" s="9"/>
      <c r="AT5" s="51">
        <v>12</v>
      </c>
      <c r="AU5" s="9"/>
      <c r="AV5" s="63">
        <v>10.6</v>
      </c>
      <c r="AW5" s="51"/>
      <c r="AX5" s="63">
        <v>11</v>
      </c>
      <c r="AY5" s="9"/>
      <c r="AZ5" s="63">
        <v>58</v>
      </c>
      <c r="BA5" s="9"/>
      <c r="BB5" s="63">
        <v>37</v>
      </c>
      <c r="BC5" s="9"/>
      <c r="BD5" s="63">
        <v>17</v>
      </c>
      <c r="BE5" s="9"/>
      <c r="BF5" s="63">
        <v>16</v>
      </c>
      <c r="BG5" s="9"/>
      <c r="BH5" s="51">
        <v>20</v>
      </c>
      <c r="BI5" s="9"/>
      <c r="BJ5" s="51">
        <v>56</v>
      </c>
      <c r="BK5" s="7"/>
      <c r="BL5" s="37" t="s">
        <v>7</v>
      </c>
    </row>
    <row r="6" s="31" customFormat="1" spans="1:64">
      <c r="A6" s="4"/>
      <c r="B6" s="41" t="s">
        <v>8</v>
      </c>
      <c r="C6" s="42"/>
      <c r="D6" s="43">
        <f>3+19.9+45.4</f>
        <v>68.3</v>
      </c>
      <c r="E6" s="42"/>
      <c r="F6" s="43">
        <v>24</v>
      </c>
      <c r="G6" s="42"/>
      <c r="H6" s="43"/>
      <c r="I6" s="42"/>
      <c r="J6" s="60"/>
      <c r="K6" s="42"/>
      <c r="L6" s="60"/>
      <c r="M6" s="42"/>
      <c r="N6" s="60"/>
      <c r="O6" s="42"/>
      <c r="P6" s="60"/>
      <c r="Q6" s="42"/>
      <c r="R6" s="60">
        <v>34.4</v>
      </c>
      <c r="S6" s="42"/>
      <c r="T6" s="60"/>
      <c r="U6" s="64"/>
      <c r="V6" s="65"/>
      <c r="W6" s="4"/>
      <c r="X6" s="65"/>
      <c r="Y6" s="4"/>
      <c r="Z6" s="64"/>
      <c r="AA6" s="4"/>
      <c r="AB6" s="64"/>
      <c r="AC6" s="4"/>
      <c r="AD6" s="64"/>
      <c r="AE6" s="4"/>
      <c r="AF6" s="64"/>
      <c r="AG6" s="4"/>
      <c r="AH6" s="64"/>
      <c r="AI6" s="4"/>
      <c r="AJ6" s="64"/>
      <c r="AK6" s="4"/>
      <c r="AL6" s="64"/>
      <c r="AM6" s="4"/>
      <c r="AN6" s="64"/>
      <c r="AO6" s="4"/>
      <c r="AP6" s="64"/>
      <c r="AQ6" s="4"/>
      <c r="AR6" s="64"/>
      <c r="AS6" s="4"/>
      <c r="AT6" s="64"/>
      <c r="AU6" s="4"/>
      <c r="AV6" s="65"/>
      <c r="AW6" s="64"/>
      <c r="AX6" s="65"/>
      <c r="AY6" s="4"/>
      <c r="AZ6" s="65"/>
      <c r="BA6" s="4"/>
      <c r="BB6" s="65"/>
      <c r="BC6" s="4"/>
      <c r="BD6" s="65"/>
      <c r="BE6" s="4"/>
      <c r="BF6" s="65">
        <v>12</v>
      </c>
      <c r="BG6" s="4"/>
      <c r="BH6" s="64"/>
      <c r="BI6" s="4"/>
      <c r="BJ6" s="64"/>
      <c r="BK6" s="7"/>
      <c r="BL6" s="41" t="s">
        <v>8</v>
      </c>
    </row>
    <row r="7" s="31" customFormat="1" spans="1:64">
      <c r="A7" s="8" t="s">
        <v>10</v>
      </c>
      <c r="B7" s="44" t="s">
        <v>11</v>
      </c>
      <c r="C7" s="38"/>
      <c r="D7" s="39"/>
      <c r="E7" s="57"/>
      <c r="F7" s="57"/>
      <c r="G7" s="59"/>
      <c r="H7" s="58"/>
      <c r="I7" s="57"/>
      <c r="J7" s="58"/>
      <c r="K7" s="57"/>
      <c r="L7" s="58"/>
      <c r="M7" s="57"/>
      <c r="N7" s="39">
        <v>17.95</v>
      </c>
      <c r="O7" s="57"/>
      <c r="P7" s="58"/>
      <c r="Q7" s="57"/>
      <c r="R7" s="58"/>
      <c r="S7" s="57"/>
      <c r="T7" s="39"/>
      <c r="U7" s="66"/>
      <c r="V7" s="67"/>
      <c r="W7" s="8"/>
      <c r="X7" s="67"/>
      <c r="Y7" s="8"/>
      <c r="Z7" s="66">
        <v>26.4</v>
      </c>
      <c r="AA7" s="8"/>
      <c r="AB7" s="66"/>
      <c r="AC7" s="8"/>
      <c r="AD7" s="66"/>
      <c r="AE7" s="8"/>
      <c r="AF7" s="66"/>
      <c r="AG7" s="8"/>
      <c r="AH7" s="66"/>
      <c r="AI7" s="8"/>
      <c r="AJ7" s="66"/>
      <c r="AK7" s="8"/>
      <c r="AL7" s="66"/>
      <c r="AM7" s="8"/>
      <c r="AN7" s="66"/>
      <c r="AO7" s="8"/>
      <c r="AP7" s="66">
        <v>14.12</v>
      </c>
      <c r="AQ7" s="8"/>
      <c r="AR7" s="66"/>
      <c r="AS7" s="8"/>
      <c r="AT7" s="66"/>
      <c r="AU7" s="8"/>
      <c r="AV7" s="67"/>
      <c r="AW7" s="66"/>
      <c r="AX7" s="67"/>
      <c r="AY7" s="8"/>
      <c r="AZ7" s="67"/>
      <c r="BA7" s="8"/>
      <c r="BB7" s="67">
        <f>134+20</f>
        <v>154</v>
      </c>
      <c r="BC7" s="8"/>
      <c r="BD7" s="67"/>
      <c r="BE7" s="8"/>
      <c r="BF7" s="67"/>
      <c r="BG7" s="8"/>
      <c r="BH7" s="66"/>
      <c r="BI7" s="8"/>
      <c r="BJ7" s="66"/>
      <c r="BK7" s="12">
        <f>SUM(C7:BJ7)</f>
        <v>212.47</v>
      </c>
      <c r="BL7" s="44" t="s">
        <v>11</v>
      </c>
    </row>
    <row r="8" s="31" customFormat="1" spans="1:64">
      <c r="A8" s="9"/>
      <c r="B8" s="44" t="s">
        <v>15</v>
      </c>
      <c r="C8" s="38" t="s">
        <v>226</v>
      </c>
      <c r="D8" s="39">
        <v>2550</v>
      </c>
      <c r="E8" s="40"/>
      <c r="F8" s="40"/>
      <c r="G8" s="38"/>
      <c r="H8" s="39"/>
      <c r="I8" s="40"/>
      <c r="J8" s="39"/>
      <c r="K8" s="40"/>
      <c r="L8" s="39"/>
      <c r="M8" s="40"/>
      <c r="N8" s="39"/>
      <c r="O8" s="40"/>
      <c r="P8" s="39"/>
      <c r="Q8" s="40"/>
      <c r="R8" s="39"/>
      <c r="S8" s="62"/>
      <c r="T8" s="39"/>
      <c r="U8" s="51"/>
      <c r="V8" s="63"/>
      <c r="W8" s="9"/>
      <c r="X8" s="63"/>
      <c r="Y8" s="9"/>
      <c r="Z8" s="51"/>
      <c r="AA8" s="9"/>
      <c r="AB8" s="51"/>
      <c r="AC8" s="9"/>
      <c r="AD8" s="51"/>
      <c r="AE8" s="9"/>
      <c r="AF8" s="51"/>
      <c r="AG8" s="9"/>
      <c r="AH8" s="51"/>
      <c r="AI8" s="9"/>
      <c r="AJ8" s="51"/>
      <c r="AK8" s="9"/>
      <c r="AL8" s="51"/>
      <c r="AM8" s="9"/>
      <c r="AN8" s="51"/>
      <c r="AO8" s="9"/>
      <c r="AP8" s="51"/>
      <c r="AQ8" s="9"/>
      <c r="AR8" s="51"/>
      <c r="AS8" s="9"/>
      <c r="AT8" s="51"/>
      <c r="AU8" s="9"/>
      <c r="AV8" s="63"/>
      <c r="AW8" s="51"/>
      <c r="AX8" s="63"/>
      <c r="AY8" s="9"/>
      <c r="AZ8" s="63"/>
      <c r="BA8" s="9"/>
      <c r="BB8" s="63"/>
      <c r="BC8" s="9"/>
      <c r="BD8" s="63"/>
      <c r="BE8" s="9"/>
      <c r="BF8" s="63"/>
      <c r="BG8" s="9"/>
      <c r="BH8" s="51"/>
      <c r="BI8" s="9"/>
      <c r="BJ8" s="51"/>
      <c r="BK8" s="12">
        <f>SUM(C8:BJ8)</f>
        <v>2550</v>
      </c>
      <c r="BL8" s="44" t="s">
        <v>15</v>
      </c>
    </row>
    <row r="9" s="31" customFormat="1" spans="1:64">
      <c r="A9" s="9"/>
      <c r="B9" s="45" t="s">
        <v>227</v>
      </c>
      <c r="C9" s="38" t="s">
        <v>228</v>
      </c>
      <c r="D9" s="39">
        <v>22.6</v>
      </c>
      <c r="E9" s="40"/>
      <c r="F9" s="40"/>
      <c r="G9" s="38"/>
      <c r="H9" s="39"/>
      <c r="I9" s="40"/>
      <c r="J9" s="39"/>
      <c r="K9" s="40"/>
      <c r="L9" s="39"/>
      <c r="M9" s="40"/>
      <c r="N9" s="39"/>
      <c r="O9" s="40"/>
      <c r="P9" s="39"/>
      <c r="Q9" s="40"/>
      <c r="R9" s="39"/>
      <c r="S9" s="38"/>
      <c r="T9" s="39"/>
      <c r="U9" s="51"/>
      <c r="V9" s="63"/>
      <c r="W9" s="9"/>
      <c r="X9" s="63"/>
      <c r="Y9" s="9"/>
      <c r="Z9" s="51"/>
      <c r="AA9" s="9" t="s">
        <v>229</v>
      </c>
      <c r="AB9" s="51">
        <v>10</v>
      </c>
      <c r="AC9" s="9"/>
      <c r="AD9" s="51"/>
      <c r="AE9" s="9" t="s">
        <v>230</v>
      </c>
      <c r="AF9" s="51">
        <v>20</v>
      </c>
      <c r="AG9" s="9"/>
      <c r="AH9" s="51"/>
      <c r="AI9" s="9"/>
      <c r="AJ9" s="51"/>
      <c r="AK9" s="9"/>
      <c r="AL9" s="51"/>
      <c r="AM9" s="9"/>
      <c r="AN9" s="51"/>
      <c r="AO9" s="9"/>
      <c r="AP9" s="51"/>
      <c r="AQ9" s="9"/>
      <c r="AR9" s="51"/>
      <c r="AS9" s="9"/>
      <c r="AT9" s="51"/>
      <c r="AU9" s="9"/>
      <c r="AV9" s="63"/>
      <c r="AW9" s="51" t="s">
        <v>231</v>
      </c>
      <c r="AX9" s="63">
        <v>30</v>
      </c>
      <c r="AY9" s="9"/>
      <c r="AZ9" s="63"/>
      <c r="BA9" s="9" t="s">
        <v>229</v>
      </c>
      <c r="BB9" s="63">
        <v>8</v>
      </c>
      <c r="BC9" s="9" t="s">
        <v>232</v>
      </c>
      <c r="BD9" s="63">
        <v>38.4</v>
      </c>
      <c r="BE9" s="9"/>
      <c r="BF9" s="63"/>
      <c r="BG9" s="9"/>
      <c r="BH9" s="51"/>
      <c r="BI9" s="9"/>
      <c r="BJ9" s="51"/>
      <c r="BK9" s="12">
        <f t="shared" ref="BK9:BK21" si="0">SUM(C9:BJ9)</f>
        <v>129</v>
      </c>
      <c r="BL9" s="45" t="s">
        <v>227</v>
      </c>
    </row>
    <row r="10" s="31" customFormat="1" spans="1:64">
      <c r="A10" s="9"/>
      <c r="B10" s="46" t="s">
        <v>21</v>
      </c>
      <c r="C10" s="38"/>
      <c r="D10" s="39"/>
      <c r="E10" s="40"/>
      <c r="F10" s="40"/>
      <c r="G10" s="38"/>
      <c r="H10" s="39"/>
      <c r="I10" s="40"/>
      <c r="J10" s="40"/>
      <c r="K10" s="38"/>
      <c r="L10" s="39"/>
      <c r="M10" s="38"/>
      <c r="N10" s="39"/>
      <c r="O10" s="38"/>
      <c r="P10" s="39"/>
      <c r="Q10" s="38"/>
      <c r="R10" s="39"/>
      <c r="S10" s="38"/>
      <c r="T10" s="39"/>
      <c r="U10" s="51"/>
      <c r="V10" s="63"/>
      <c r="W10" s="9"/>
      <c r="X10" s="63"/>
      <c r="Y10" s="9"/>
      <c r="Z10" s="51"/>
      <c r="AA10" s="9"/>
      <c r="AB10" s="51"/>
      <c r="AC10" s="9"/>
      <c r="AD10" s="51"/>
      <c r="AE10" s="9"/>
      <c r="AF10" s="51"/>
      <c r="AG10" s="9"/>
      <c r="AH10" s="51"/>
      <c r="AI10" s="9"/>
      <c r="AJ10" s="51"/>
      <c r="AK10" s="9"/>
      <c r="AL10" s="51"/>
      <c r="AM10" s="9"/>
      <c r="AN10" s="51">
        <f>19+6</f>
        <v>25</v>
      </c>
      <c r="AO10" s="9"/>
      <c r="AP10" s="51"/>
      <c r="AQ10" s="9"/>
      <c r="AR10" s="51"/>
      <c r="AS10" s="9"/>
      <c r="AT10" s="51"/>
      <c r="AU10" s="9"/>
      <c r="AV10" s="63"/>
      <c r="AW10" s="51"/>
      <c r="AX10" s="63"/>
      <c r="AY10" s="9"/>
      <c r="AZ10" s="63"/>
      <c r="BA10" s="9"/>
      <c r="BB10" s="63"/>
      <c r="BC10" s="9"/>
      <c r="BD10" s="63"/>
      <c r="BE10" s="9"/>
      <c r="BF10" s="63"/>
      <c r="BG10" s="9"/>
      <c r="BH10" s="51"/>
      <c r="BI10" s="9"/>
      <c r="BJ10" s="51"/>
      <c r="BK10" s="12">
        <f t="shared" si="0"/>
        <v>25</v>
      </c>
      <c r="BL10" s="46" t="s">
        <v>21</v>
      </c>
    </row>
    <row r="11" s="31" customFormat="1" spans="1:64">
      <c r="A11" s="9"/>
      <c r="B11" s="46" t="s">
        <v>26</v>
      </c>
      <c r="C11" s="38"/>
      <c r="D11" s="40"/>
      <c r="E11" s="38"/>
      <c r="F11" s="39"/>
      <c r="G11" s="38"/>
      <c r="H11" s="39"/>
      <c r="I11" s="38"/>
      <c r="J11" s="39"/>
      <c r="K11" s="38"/>
      <c r="L11" s="39"/>
      <c r="M11" s="38"/>
      <c r="N11" s="39"/>
      <c r="O11" s="38"/>
      <c r="P11" s="39"/>
      <c r="Q11" s="38"/>
      <c r="R11" s="39"/>
      <c r="S11" s="38"/>
      <c r="T11" s="39"/>
      <c r="U11" s="51"/>
      <c r="V11" s="63"/>
      <c r="W11" s="9"/>
      <c r="X11" s="63"/>
      <c r="Y11" s="9"/>
      <c r="Z11" s="51"/>
      <c r="AA11" s="9"/>
      <c r="AB11" s="51"/>
      <c r="AC11" s="9"/>
      <c r="AD11" s="51"/>
      <c r="AE11" s="9"/>
      <c r="AF11" s="51"/>
      <c r="AG11" s="9"/>
      <c r="AH11" s="51"/>
      <c r="AI11" s="9"/>
      <c r="AJ11" s="51"/>
      <c r="AK11" s="9"/>
      <c r="AL11" s="51"/>
      <c r="AM11" s="9"/>
      <c r="AN11" s="51"/>
      <c r="AO11" s="9"/>
      <c r="AP11" s="51">
        <v>40</v>
      </c>
      <c r="AQ11" s="9"/>
      <c r="AR11" s="51"/>
      <c r="AS11" s="9"/>
      <c r="AT11" s="51"/>
      <c r="AU11" s="9"/>
      <c r="AV11" s="63"/>
      <c r="AW11" s="51"/>
      <c r="AX11" s="63"/>
      <c r="AY11" s="9"/>
      <c r="AZ11" s="63"/>
      <c r="BA11" s="9"/>
      <c r="BB11" s="63"/>
      <c r="BC11" s="9"/>
      <c r="BD11" s="63"/>
      <c r="BE11" s="9"/>
      <c r="BF11" s="63"/>
      <c r="BG11" s="9"/>
      <c r="BH11" s="51"/>
      <c r="BI11" s="9"/>
      <c r="BJ11" s="51"/>
      <c r="BK11" s="12">
        <f t="shared" si="0"/>
        <v>40</v>
      </c>
      <c r="BL11" s="46" t="s">
        <v>26</v>
      </c>
    </row>
    <row r="12" s="31" customFormat="1" spans="1:64">
      <c r="A12" s="9"/>
      <c r="B12" s="46" t="s">
        <v>29</v>
      </c>
      <c r="C12" s="38"/>
      <c r="D12" s="40"/>
      <c r="E12" s="38"/>
      <c r="F12" s="39"/>
      <c r="G12" s="38"/>
      <c r="H12" s="39"/>
      <c r="I12" s="38"/>
      <c r="J12" s="39"/>
      <c r="K12" s="38"/>
      <c r="L12" s="39"/>
      <c r="M12" s="38"/>
      <c r="N12" s="39"/>
      <c r="O12" s="38"/>
      <c r="P12" s="39"/>
      <c r="Q12" s="38"/>
      <c r="R12" s="39"/>
      <c r="S12" s="38"/>
      <c r="T12" s="39"/>
      <c r="U12" s="51"/>
      <c r="V12" s="63"/>
      <c r="W12" s="9"/>
      <c r="X12" s="63"/>
      <c r="Y12" s="9"/>
      <c r="Z12" s="51"/>
      <c r="AA12" s="9"/>
      <c r="AB12" s="51"/>
      <c r="AC12" s="9"/>
      <c r="AD12" s="51"/>
      <c r="AE12" s="9"/>
      <c r="AF12" s="51"/>
      <c r="AG12" s="9"/>
      <c r="AH12" s="51"/>
      <c r="AI12" s="9"/>
      <c r="AJ12" s="51"/>
      <c r="AK12" s="9"/>
      <c r="AL12" s="51"/>
      <c r="AM12" s="9"/>
      <c r="AN12" s="51"/>
      <c r="AO12" s="9"/>
      <c r="AP12" s="51"/>
      <c r="AQ12" s="9"/>
      <c r="AR12" s="51"/>
      <c r="AS12" s="9"/>
      <c r="AT12" s="51"/>
      <c r="AU12" s="9"/>
      <c r="AV12" s="63"/>
      <c r="AW12" s="51"/>
      <c r="AX12" s="63"/>
      <c r="AY12" s="9"/>
      <c r="AZ12" s="63"/>
      <c r="BA12" s="9"/>
      <c r="BB12" s="63"/>
      <c r="BC12" s="9"/>
      <c r="BD12" s="63"/>
      <c r="BE12" s="9"/>
      <c r="BF12" s="63"/>
      <c r="BG12" s="9"/>
      <c r="BH12" s="51"/>
      <c r="BI12" s="9"/>
      <c r="BJ12" s="51"/>
      <c r="BK12" s="12">
        <f t="shared" si="0"/>
        <v>0</v>
      </c>
      <c r="BL12" s="46" t="s">
        <v>29</v>
      </c>
    </row>
    <row r="13" s="31" customFormat="1" spans="1:64">
      <c r="A13" s="14" t="s">
        <v>30</v>
      </c>
      <c r="B13" s="47" t="s">
        <v>31</v>
      </c>
      <c r="C13" s="10"/>
      <c r="D13" s="14">
        <v>2</v>
      </c>
      <c r="E13" s="10"/>
      <c r="F13" s="14"/>
      <c r="G13" s="10"/>
      <c r="H13" s="14"/>
      <c r="I13" s="10"/>
      <c r="J13" s="14">
        <v>2</v>
      </c>
      <c r="K13" s="10"/>
      <c r="L13" s="14"/>
      <c r="M13" s="10"/>
      <c r="N13" s="14"/>
      <c r="O13" s="10"/>
      <c r="P13" s="14"/>
      <c r="Q13" s="10"/>
      <c r="R13" s="14"/>
      <c r="S13" s="10"/>
      <c r="T13" s="14"/>
      <c r="U13" s="10"/>
      <c r="V13" s="14"/>
      <c r="W13" s="10"/>
      <c r="X13" s="14">
        <v>2</v>
      </c>
      <c r="Y13" s="10"/>
      <c r="Z13" s="14"/>
      <c r="AA13" s="10"/>
      <c r="AB13" s="14">
        <v>5</v>
      </c>
      <c r="AC13" s="10"/>
      <c r="AD13" s="14"/>
      <c r="AE13" s="10"/>
      <c r="AF13" s="14"/>
      <c r="AG13" s="10"/>
      <c r="AH13" s="14"/>
      <c r="AI13" s="10"/>
      <c r="AJ13" s="14"/>
      <c r="AK13" s="10"/>
      <c r="AL13" s="14">
        <v>2</v>
      </c>
      <c r="AM13" s="10"/>
      <c r="AN13" s="14"/>
      <c r="AO13" s="10"/>
      <c r="AP13" s="14"/>
      <c r="AQ13" s="10"/>
      <c r="AR13" s="14">
        <v>2</v>
      </c>
      <c r="AS13" s="10"/>
      <c r="AT13" s="14"/>
      <c r="AU13" s="10"/>
      <c r="AV13" s="14"/>
      <c r="AW13" s="10"/>
      <c r="AX13" s="14"/>
      <c r="AY13" s="10"/>
      <c r="AZ13" s="14"/>
      <c r="BA13" s="10"/>
      <c r="BB13" s="14"/>
      <c r="BC13" s="10"/>
      <c r="BD13" s="14"/>
      <c r="BE13" s="10"/>
      <c r="BF13" s="14"/>
      <c r="BG13" s="10"/>
      <c r="BH13" s="14"/>
      <c r="BI13" s="10"/>
      <c r="BJ13" s="14"/>
      <c r="BK13" s="7">
        <f t="shared" si="0"/>
        <v>15</v>
      </c>
      <c r="BL13" s="47" t="s">
        <v>31</v>
      </c>
    </row>
    <row r="14" s="31" customFormat="1" spans="1:64">
      <c r="A14" s="14" t="s">
        <v>35</v>
      </c>
      <c r="B14" s="47" t="s">
        <v>36</v>
      </c>
      <c r="C14" s="10"/>
      <c r="D14" s="14"/>
      <c r="E14" s="10"/>
      <c r="F14" s="14"/>
      <c r="G14" s="10"/>
      <c r="H14" s="14"/>
      <c r="I14" s="10"/>
      <c r="J14" s="14"/>
      <c r="K14" s="10"/>
      <c r="L14" s="14"/>
      <c r="M14" s="10"/>
      <c r="N14" s="14"/>
      <c r="O14" s="10"/>
      <c r="P14" s="14"/>
      <c r="Q14" s="10"/>
      <c r="R14" s="14"/>
      <c r="S14" s="10"/>
      <c r="T14" s="14"/>
      <c r="U14" s="10" t="s">
        <v>233</v>
      </c>
      <c r="V14" s="14">
        <v>53</v>
      </c>
      <c r="W14" s="10"/>
      <c r="X14" s="14"/>
      <c r="Y14" s="10"/>
      <c r="Z14" s="14"/>
      <c r="AA14" s="10"/>
      <c r="AB14" s="14"/>
      <c r="AC14" s="10"/>
      <c r="AD14" s="14"/>
      <c r="AE14" s="10"/>
      <c r="AF14" s="14"/>
      <c r="AG14" s="10"/>
      <c r="AH14" s="14"/>
      <c r="AI14" s="10"/>
      <c r="AJ14" s="14"/>
      <c r="AK14" s="10"/>
      <c r="AL14" s="14"/>
      <c r="AM14" s="10"/>
      <c r="AN14" s="14"/>
      <c r="AO14" s="10"/>
      <c r="AP14" s="14">
        <v>50</v>
      </c>
      <c r="AQ14" s="10"/>
      <c r="AR14" s="14"/>
      <c r="AS14" s="10"/>
      <c r="AT14" s="14"/>
      <c r="AU14" s="10"/>
      <c r="AV14" s="14"/>
      <c r="AW14" s="10"/>
      <c r="AX14" s="14"/>
      <c r="AY14" s="10" t="s">
        <v>234</v>
      </c>
      <c r="AZ14" s="14">
        <v>80</v>
      </c>
      <c r="BA14" s="10"/>
      <c r="BB14" s="14"/>
      <c r="BC14" s="10"/>
      <c r="BD14" s="14"/>
      <c r="BE14" s="10" t="s">
        <v>235</v>
      </c>
      <c r="BF14" s="14">
        <v>89</v>
      </c>
      <c r="BG14" s="10"/>
      <c r="BH14" s="14"/>
      <c r="BI14" s="10"/>
      <c r="BJ14" s="14"/>
      <c r="BK14" s="7">
        <f t="shared" si="0"/>
        <v>272</v>
      </c>
      <c r="BL14" s="47" t="s">
        <v>36</v>
      </c>
    </row>
    <row r="15" s="31" customFormat="1" spans="1:64">
      <c r="A15" s="14" t="s">
        <v>38</v>
      </c>
      <c r="B15" s="47" t="s">
        <v>39</v>
      </c>
      <c r="C15" s="10"/>
      <c r="D15" s="14"/>
      <c r="E15" s="10"/>
      <c r="F15" s="14"/>
      <c r="G15" s="10"/>
      <c r="H15" s="14"/>
      <c r="I15" s="10"/>
      <c r="J15" s="14"/>
      <c r="K15" s="10"/>
      <c r="L15" s="14"/>
      <c r="M15" s="10"/>
      <c r="N15" s="14"/>
      <c r="O15" s="10"/>
      <c r="P15" s="14"/>
      <c r="Q15" s="10"/>
      <c r="R15" s="14"/>
      <c r="S15" s="10"/>
      <c r="T15" s="14"/>
      <c r="U15" s="10"/>
      <c r="V15" s="14"/>
      <c r="W15" s="10"/>
      <c r="X15" s="14"/>
      <c r="Y15" s="10"/>
      <c r="Z15" s="14"/>
      <c r="AA15" s="10"/>
      <c r="AB15" s="14"/>
      <c r="AC15" s="10"/>
      <c r="AD15" s="14"/>
      <c r="AE15" s="10"/>
      <c r="AF15" s="14"/>
      <c r="AG15" s="10"/>
      <c r="AH15" s="14"/>
      <c r="AI15" s="10"/>
      <c r="AJ15" s="14"/>
      <c r="AK15" s="10"/>
      <c r="AL15" s="14"/>
      <c r="AM15" s="10"/>
      <c r="AN15" s="14"/>
      <c r="AO15" s="10"/>
      <c r="AP15" s="14"/>
      <c r="AQ15" s="10" t="s">
        <v>236</v>
      </c>
      <c r="AR15" s="14">
        <v>7699</v>
      </c>
      <c r="AS15" s="10"/>
      <c r="AT15" s="14"/>
      <c r="AU15" s="10"/>
      <c r="AV15" s="14"/>
      <c r="AW15" s="10"/>
      <c r="AX15" s="14"/>
      <c r="AY15" s="10"/>
      <c r="AZ15" s="14">
        <v>30</v>
      </c>
      <c r="BA15" s="10"/>
      <c r="BB15" s="14">
        <v>40</v>
      </c>
      <c r="BC15" s="10"/>
      <c r="BD15" s="14"/>
      <c r="BE15" s="10"/>
      <c r="BF15" s="14"/>
      <c r="BG15" s="10"/>
      <c r="BH15" s="14"/>
      <c r="BI15" s="10"/>
      <c r="BJ15" s="14"/>
      <c r="BK15" s="7">
        <f t="shared" si="0"/>
        <v>7769</v>
      </c>
      <c r="BL15" s="47" t="s">
        <v>39</v>
      </c>
    </row>
    <row r="16" s="31" customFormat="1" spans="1:64">
      <c r="A16" s="14" t="s">
        <v>42</v>
      </c>
      <c r="B16" s="47" t="s">
        <v>43</v>
      </c>
      <c r="C16" s="10"/>
      <c r="D16" s="14"/>
      <c r="E16" s="10"/>
      <c r="F16" s="14"/>
      <c r="G16" s="10"/>
      <c r="H16" s="14"/>
      <c r="I16" s="10"/>
      <c r="J16" s="14"/>
      <c r="K16" s="10"/>
      <c r="L16" s="14"/>
      <c r="M16" s="10"/>
      <c r="N16" s="14">
        <v>2</v>
      </c>
      <c r="O16" s="10"/>
      <c r="P16" s="14"/>
      <c r="Q16" s="10"/>
      <c r="R16" s="14"/>
      <c r="S16" s="10"/>
      <c r="T16" s="14"/>
      <c r="U16" s="10"/>
      <c r="V16" s="14"/>
      <c r="W16" s="10"/>
      <c r="X16" s="14"/>
      <c r="Y16" s="10"/>
      <c r="Z16" s="14"/>
      <c r="AA16" s="10"/>
      <c r="AB16" s="14"/>
      <c r="AC16" s="10"/>
      <c r="AD16" s="14"/>
      <c r="AE16" s="10"/>
      <c r="AF16" s="14"/>
      <c r="AG16" s="10"/>
      <c r="AH16" s="14"/>
      <c r="AI16" s="10"/>
      <c r="AJ16" s="14"/>
      <c r="AK16" s="10"/>
      <c r="AL16" s="14">
        <v>41.2</v>
      </c>
      <c r="AM16" s="10"/>
      <c r="AN16" s="14"/>
      <c r="AO16" s="10"/>
      <c r="AP16" s="14"/>
      <c r="AQ16" s="10"/>
      <c r="AR16" s="14"/>
      <c r="AS16" s="10"/>
      <c r="AT16" s="14">
        <v>62.2</v>
      </c>
      <c r="AU16" s="10"/>
      <c r="AV16" s="14"/>
      <c r="AW16" s="10"/>
      <c r="AX16" s="14"/>
      <c r="AY16" s="10"/>
      <c r="AZ16" s="14"/>
      <c r="BA16" s="10"/>
      <c r="BB16" s="14"/>
      <c r="BC16" s="10"/>
      <c r="BD16" s="14"/>
      <c r="BE16" s="10"/>
      <c r="BF16" s="14"/>
      <c r="BG16" s="10"/>
      <c r="BH16" s="14">
        <v>33</v>
      </c>
      <c r="BI16" s="10"/>
      <c r="BJ16" s="14"/>
      <c r="BK16" s="7">
        <f t="shared" si="0"/>
        <v>138.4</v>
      </c>
      <c r="BL16" s="47" t="s">
        <v>43</v>
      </c>
    </row>
    <row r="17" s="31" customFormat="1" spans="1:64">
      <c r="A17" s="14" t="s">
        <v>45</v>
      </c>
      <c r="B17" s="14" t="s">
        <v>46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7">
        <f t="shared" si="0"/>
        <v>0</v>
      </c>
      <c r="BL17" s="14" t="s">
        <v>46</v>
      </c>
    </row>
    <row r="18" s="31" customFormat="1" spans="1:64">
      <c r="A18" s="14"/>
      <c r="B18" s="17" t="s">
        <v>47</v>
      </c>
      <c r="C18" s="14">
        <f>SUM(C3:D16)</f>
        <v>2668.4</v>
      </c>
      <c r="D18" s="48"/>
      <c r="E18" s="14">
        <f>SUM(E3:F16)</f>
        <v>51</v>
      </c>
      <c r="F18" s="48"/>
      <c r="G18" s="14">
        <f>SUM(G3:H16)</f>
        <v>28.9</v>
      </c>
      <c r="H18" s="48"/>
      <c r="I18" s="14">
        <f>SUM(I3:J16)</f>
        <v>42</v>
      </c>
      <c r="J18" s="48"/>
      <c r="K18" s="14">
        <f>SUM(K3:L16)</f>
        <v>20</v>
      </c>
      <c r="L18" s="48"/>
      <c r="M18" s="14">
        <f>SUM(M3:N16)</f>
        <v>48.95</v>
      </c>
      <c r="N18" s="48"/>
      <c r="O18" s="14">
        <f>SUM(O3:P16)</f>
        <v>26.5</v>
      </c>
      <c r="P18" s="48"/>
      <c r="Q18" s="14">
        <f>SUM(Q3:R16)</f>
        <v>58.4</v>
      </c>
      <c r="R18" s="48"/>
      <c r="S18" s="14">
        <f>SUM(S3:T16)</f>
        <v>20</v>
      </c>
      <c r="T18" s="48"/>
      <c r="U18" s="14">
        <f>SUM(U3:V16)</f>
        <v>73.5</v>
      </c>
      <c r="V18" s="48"/>
      <c r="W18" s="14">
        <f>SUM(W3:X16)</f>
        <v>45.4</v>
      </c>
      <c r="X18" s="48"/>
      <c r="Y18" s="14">
        <f>SUM(Y3:Z16)</f>
        <v>26.4</v>
      </c>
      <c r="Z18" s="48"/>
      <c r="AA18" s="14">
        <f>SUM(AA3:AB16)</f>
        <v>15</v>
      </c>
      <c r="AB18" s="48"/>
      <c r="AC18" s="14">
        <f>SUM(AC3:AD16)</f>
        <v>27</v>
      </c>
      <c r="AD18" s="48"/>
      <c r="AE18" s="14">
        <f>SUM(AE3:AF16)</f>
        <v>41</v>
      </c>
      <c r="AF18" s="48"/>
      <c r="AG18" s="14">
        <f>SUM(AG3:AH16)</f>
        <v>25</v>
      </c>
      <c r="AH18" s="48"/>
      <c r="AI18" s="14">
        <f>SUM(AI3:AJ16)</f>
        <v>22.6</v>
      </c>
      <c r="AJ18" s="48"/>
      <c r="AK18" s="14">
        <f>SUM(AK3:AL16)</f>
        <v>43.2</v>
      </c>
      <c r="AL18" s="48"/>
      <c r="AM18" s="14">
        <f>SUM(AM3:AN16)</f>
        <v>65</v>
      </c>
      <c r="AN18" s="48"/>
      <c r="AO18" s="14">
        <f>SUM(AO3:AP16)</f>
        <v>139.72</v>
      </c>
      <c r="AP18" s="48"/>
      <c r="AQ18" s="14">
        <f>SUM(AQ3:AR16)</f>
        <v>7730.5</v>
      </c>
      <c r="AR18" s="48"/>
      <c r="AS18" s="14">
        <f>SUM(AS3:AT16)</f>
        <v>95.2</v>
      </c>
      <c r="AT18" s="48"/>
      <c r="AU18" s="14">
        <f>SUM(AU3:AV16)</f>
        <v>29.5</v>
      </c>
      <c r="AV18" s="48"/>
      <c r="AW18" s="14">
        <f>SUM(AW3:AX16)</f>
        <v>52.5</v>
      </c>
      <c r="AX18" s="48"/>
      <c r="AY18" s="14">
        <f>SUM(AY3:AZ16)</f>
        <v>181</v>
      </c>
      <c r="AZ18" s="48"/>
      <c r="BA18" s="14">
        <f>SUM(BA3:BB16)</f>
        <v>309</v>
      </c>
      <c r="BB18" s="48"/>
      <c r="BC18" s="14">
        <f>SUM(BC3:BD16)</f>
        <v>65.4</v>
      </c>
      <c r="BD18" s="48"/>
      <c r="BE18" s="14">
        <f>SUM(BE3:BF16)</f>
        <v>129</v>
      </c>
      <c r="BF18" s="48"/>
      <c r="BG18" s="14">
        <f>SUM(BG3:BH16)</f>
        <v>72</v>
      </c>
      <c r="BH18" s="48"/>
      <c r="BI18" s="14">
        <f>SUM(BI3:BJ16)</f>
        <v>91</v>
      </c>
      <c r="BJ18" s="48"/>
      <c r="BK18" s="23">
        <f t="shared" si="0"/>
        <v>12243.07</v>
      </c>
      <c r="BL18" s="17" t="s">
        <v>47</v>
      </c>
    </row>
    <row r="19" s="32" customFormat="1" spans="1:64">
      <c r="A19" s="10"/>
      <c r="B19" s="18" t="s">
        <v>49</v>
      </c>
      <c r="C19" s="49"/>
      <c r="D19" s="50"/>
      <c r="E19" s="49"/>
      <c r="F19" s="50"/>
      <c r="G19" s="49"/>
      <c r="H19" s="50"/>
      <c r="I19" s="49" t="s">
        <v>237</v>
      </c>
      <c r="J19" s="50">
        <v>150</v>
      </c>
      <c r="K19" s="49" t="s">
        <v>237</v>
      </c>
      <c r="L19" s="50">
        <v>150</v>
      </c>
      <c r="M19" s="49"/>
      <c r="N19" s="50"/>
      <c r="O19" s="49"/>
      <c r="P19" s="50"/>
      <c r="Q19" s="49"/>
      <c r="R19" s="50"/>
      <c r="S19" s="49"/>
      <c r="T19" s="50"/>
      <c r="U19" s="49"/>
      <c r="V19" s="50"/>
      <c r="W19" s="49"/>
      <c r="X19" s="50"/>
      <c r="Y19" s="49" t="s">
        <v>50</v>
      </c>
      <c r="Z19" s="50">
        <v>130</v>
      </c>
      <c r="AA19" s="49"/>
      <c r="AB19" s="50"/>
      <c r="AC19" s="49"/>
      <c r="AD19" s="50"/>
      <c r="AE19" s="49"/>
      <c r="AF19" s="50"/>
      <c r="AG19" s="49"/>
      <c r="AH19" s="50"/>
      <c r="AI19" s="49"/>
      <c r="AJ19" s="50"/>
      <c r="AK19" s="49"/>
      <c r="AL19" s="50"/>
      <c r="AM19" s="49" t="s">
        <v>50</v>
      </c>
      <c r="AN19" s="50">
        <v>130</v>
      </c>
      <c r="AO19" s="49"/>
      <c r="AP19" s="50"/>
      <c r="AQ19" s="49"/>
      <c r="AR19" s="50"/>
      <c r="AS19" s="49"/>
      <c r="AT19" s="50"/>
      <c r="AU19" s="49"/>
      <c r="AV19" s="50"/>
      <c r="AW19" s="49"/>
      <c r="AX19" s="50"/>
      <c r="AY19" s="49"/>
      <c r="AZ19" s="50"/>
      <c r="BA19" s="49"/>
      <c r="BB19" s="50"/>
      <c r="BC19" s="49"/>
      <c r="BD19" s="50"/>
      <c r="BE19" s="49"/>
      <c r="BF19" s="50"/>
      <c r="BG19" s="49"/>
      <c r="BH19" s="50"/>
      <c r="BI19" s="49"/>
      <c r="BJ19" s="50"/>
      <c r="BK19" s="7">
        <f t="shared" si="0"/>
        <v>560</v>
      </c>
      <c r="BL19" s="18" t="s">
        <v>49</v>
      </c>
    </row>
    <row r="20" s="31" customFormat="1" spans="1:64">
      <c r="A20" s="51"/>
      <c r="B20" s="10" t="s">
        <v>51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7">
        <f t="shared" si="0"/>
        <v>0</v>
      </c>
      <c r="BL20" s="18" t="s">
        <v>51</v>
      </c>
    </row>
    <row r="21" s="31" customFormat="1" ht="17" spans="1:64">
      <c r="A21" s="51"/>
      <c r="B21" s="85" t="s">
        <v>220</v>
      </c>
      <c r="C21" s="49" t="s">
        <v>238</v>
      </c>
      <c r="D21" s="49">
        <v>350</v>
      </c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68"/>
      <c r="AP21" s="68"/>
      <c r="AQ21" s="68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72"/>
      <c r="BE21" s="72"/>
      <c r="BF21" s="72"/>
      <c r="BG21" s="72"/>
      <c r="BH21" s="72"/>
      <c r="BI21" s="72"/>
      <c r="BJ21" s="72"/>
      <c r="BK21" s="7">
        <f t="shared" si="0"/>
        <v>350</v>
      </c>
      <c r="BL21" s="79" t="s">
        <v>220</v>
      </c>
    </row>
    <row r="22" s="31" customFormat="1" spans="1:64">
      <c r="A22" s="51"/>
      <c r="B22" s="85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/>
      <c r="AP22"/>
      <c r="AQ22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73"/>
      <c r="BE22" s="73"/>
      <c r="BF22" s="73"/>
      <c r="BG22" s="73"/>
      <c r="BH22" s="73"/>
      <c r="BI22" s="73"/>
      <c r="BJ22" s="73"/>
      <c r="BK22" s="73"/>
      <c r="BL22" s="53"/>
    </row>
    <row r="23" s="31" customFormat="1" spans="1:64">
      <c r="A23" s="51"/>
      <c r="B23" s="10" t="s">
        <v>239</v>
      </c>
      <c r="C23" s="20" t="s">
        <v>98</v>
      </c>
      <c r="D23"/>
      <c r="E23"/>
      <c r="F23"/>
      <c r="G23"/>
      <c r="H23"/>
      <c r="I23"/>
      <c r="J23"/>
      <c r="K23"/>
      <c r="L2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73"/>
      <c r="BE23" s="73"/>
      <c r="BF23" s="73"/>
      <c r="BG23" s="73"/>
      <c r="BH23" s="73"/>
      <c r="BI23" s="73"/>
      <c r="BJ23" s="73"/>
      <c r="BK23" s="73"/>
      <c r="BL23"/>
    </row>
    <row r="24" s="31" customFormat="1" spans="1:64">
      <c r="A24" s="51"/>
      <c r="B24" s="54" t="s">
        <v>60</v>
      </c>
      <c r="C24" s="20">
        <v>2600</v>
      </c>
      <c r="D24"/>
      <c r="E24"/>
      <c r="F24"/>
      <c r="G24"/>
      <c r="H24"/>
      <c r="I24"/>
      <c r="J24"/>
      <c r="K24"/>
      <c r="L24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73"/>
      <c r="BE24" s="73"/>
      <c r="BF24" s="73"/>
      <c r="BG24" s="73"/>
      <c r="BH24" s="73"/>
      <c r="BI24" s="73"/>
      <c r="BJ24" s="73"/>
      <c r="BK24" s="73"/>
      <c r="BL24"/>
    </row>
    <row r="25" s="31" customFormat="1" spans="1:64">
      <c r="A25" s="51"/>
      <c r="B25" s="51"/>
      <c r="C25" s="32"/>
      <c r="D25"/>
      <c r="E25"/>
      <c r="F25"/>
      <c r="G25"/>
      <c r="H25"/>
      <c r="I25"/>
      <c r="J25"/>
      <c r="K25"/>
      <c r="L25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73"/>
      <c r="BE25" s="73"/>
      <c r="BF25" s="73"/>
      <c r="BG25" s="73"/>
      <c r="BH25" s="73"/>
      <c r="BI25" s="73"/>
      <c r="BJ25" s="73"/>
      <c r="BK25" s="73"/>
      <c r="BL25"/>
    </row>
    <row r="26" s="31" customFormat="1" spans="1:64">
      <c r="A26" s="51"/>
      <c r="B26" s="86"/>
      <c r="C26" s="32"/>
      <c r="D26"/>
      <c r="E26"/>
      <c r="F26"/>
      <c r="G26" s="92"/>
      <c r="H26" s="92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/>
    </row>
    <row r="27" s="31" customFormat="1" spans="1:64">
      <c r="A27" s="51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/>
    </row>
    <row r="28" s="31" customFormat="1" spans="1:64">
      <c r="A28" s="51"/>
      <c r="B28" s="87" t="s">
        <v>240</v>
      </c>
      <c r="C28" s="88"/>
      <c r="D28" s="88"/>
      <c r="E28" s="88"/>
      <c r="F28" s="88"/>
      <c r="G28" s="88"/>
      <c r="H28" s="9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/>
    </row>
    <row r="29" s="31" customFormat="1" spans="1:64">
      <c r="A29" s="51"/>
      <c r="B29" s="89"/>
      <c r="C29" s="53"/>
      <c r="D29" s="53"/>
      <c r="E29" s="53"/>
      <c r="F29" s="53"/>
      <c r="G29" s="53"/>
      <c r="H29" s="94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/>
    </row>
    <row r="30" s="31" customFormat="1" spans="1:64">
      <c r="A30" s="51"/>
      <c r="B30" s="90"/>
      <c r="C30" s="91"/>
      <c r="D30" s="91"/>
      <c r="E30" s="91"/>
      <c r="F30" s="91"/>
      <c r="G30" s="91"/>
      <c r="H30" s="95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/>
    </row>
    <row r="31" s="31" customFormat="1" spans="1:64">
      <c r="A31" s="51"/>
      <c r="B31" s="53"/>
      <c r="C31" s="53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3"/>
    </row>
    <row r="32" s="31" customFormat="1" spans="1:64">
      <c r="A32" s="51"/>
      <c r="B32" s="53"/>
      <c r="C32" s="53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3"/>
    </row>
    <row r="33" s="31" customFormat="1" spans="1:64">
      <c r="A33" s="51"/>
      <c r="B33" s="53"/>
      <c r="C33" s="53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3"/>
    </row>
    <row r="34" s="31" customFormat="1" spans="1:64">
      <c r="A34" s="51"/>
      <c r="B34" s="53"/>
      <c r="C34" s="53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3"/>
    </row>
    <row r="35" s="31" customFormat="1" spans="1:64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</row>
  </sheetData>
  <sheetProtection formatCells="0" insertHyperlinks="0" autoFilter="0"/>
  <mergeCells count="66">
    <mergeCell ref="C1:T1"/>
    <mergeCell ref="BA1:B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N18"/>
    <mergeCell ref="AO18:AP18"/>
    <mergeCell ref="AQ18:AR18"/>
    <mergeCell ref="AS18:AT18"/>
    <mergeCell ref="AU18:AV18"/>
    <mergeCell ref="AW18:AX18"/>
    <mergeCell ref="AY18:AZ18"/>
    <mergeCell ref="BA18:BB18"/>
    <mergeCell ref="BC18:BD18"/>
    <mergeCell ref="BE18:BF18"/>
    <mergeCell ref="BG18:BH18"/>
    <mergeCell ref="BI18:BJ18"/>
    <mergeCell ref="A3:A6"/>
    <mergeCell ref="A7:A12"/>
    <mergeCell ref="BK3:BK6"/>
    <mergeCell ref="B28:H30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N34"/>
  <sheetViews>
    <sheetView zoomScale="80" zoomScaleNormal="80" topLeftCell="AM1" workbookViewId="0">
      <selection activeCell="BK31" sqref="BK31"/>
    </sheetView>
  </sheetViews>
  <sheetFormatPr defaultColWidth="9.81730769230769" defaultRowHeight="16.8"/>
  <cols>
    <col min="1" max="1" width="6" style="31" customWidth="1"/>
    <col min="2" max="2" width="17.6153846153846" style="31" customWidth="1"/>
    <col min="3" max="3" width="10.3076923076923" style="31" customWidth="1"/>
    <col min="4" max="4" width="7.69230769230769" style="31" customWidth="1"/>
    <col min="5" max="5" width="9.66346153846154" style="31" customWidth="1"/>
    <col min="6" max="6" width="7.69230769230769" style="31" customWidth="1"/>
    <col min="7" max="7" width="17.6153846153846" style="31" customWidth="1"/>
    <col min="8" max="8" width="7.69230769230769" style="31" customWidth="1"/>
    <col min="9" max="9" width="9.66346153846154" style="31" customWidth="1"/>
    <col min="10" max="10" width="6.69230769230769" style="31" customWidth="1"/>
    <col min="11" max="11" width="8.15384615384615" style="31" customWidth="1"/>
    <col min="12" max="12" width="7.69230769230769" style="31" customWidth="1"/>
    <col min="13" max="13" width="11.0769230769231" style="31" customWidth="1"/>
    <col min="14" max="14" width="6.69230769230769" style="31" customWidth="1"/>
    <col min="15" max="15" width="8.84615384615385" style="31" customWidth="1"/>
    <col min="16" max="16" width="6.69230769230769" style="31" customWidth="1"/>
    <col min="17" max="17" width="6" style="31" customWidth="1"/>
    <col min="18" max="18" width="7.69230769230769" style="31" customWidth="1"/>
    <col min="19" max="19" width="11.0769230769231" style="31" customWidth="1"/>
    <col min="20" max="20" width="7.69230769230769" style="31" customWidth="1"/>
    <col min="21" max="21" width="8.92307692307692" style="31" customWidth="1"/>
    <col min="22" max="22" width="6.69230769230769" style="31" customWidth="1"/>
    <col min="23" max="23" width="7.66346153846154" style="31" customWidth="1"/>
    <col min="24" max="24" width="6.69230769230769" style="31" customWidth="1"/>
    <col min="25" max="25" width="11.9230769230769" style="31" customWidth="1"/>
    <col min="26" max="26" width="7.69230769230769" style="31" customWidth="1"/>
    <col min="27" max="27" width="10.9230769230769" style="31" customWidth="1"/>
    <col min="28" max="28" width="7.69230769230769" style="31" customWidth="1"/>
    <col min="29" max="29" width="9.66346153846154" style="31" customWidth="1"/>
    <col min="30" max="30" width="6.69230769230769" style="31" customWidth="1"/>
    <col min="31" max="31" width="20" style="31" customWidth="1"/>
    <col min="32" max="32" width="7.69230769230769" style="31" customWidth="1"/>
    <col min="33" max="33" width="7.61538461538461" style="31" customWidth="1"/>
    <col min="34" max="34" width="6.69230769230769" style="31" customWidth="1"/>
    <col min="35" max="35" width="6" style="31" customWidth="1"/>
    <col min="36" max="36" width="7.69230769230769" style="31" customWidth="1"/>
    <col min="37" max="37" width="8.15384615384615" style="31" customWidth="1"/>
    <col min="38" max="38" width="6.69230769230769" style="31" customWidth="1"/>
    <col min="39" max="39" width="27.3076923076923" style="31" customWidth="1"/>
    <col min="40" max="40" width="8.69230769230769" style="31" customWidth="1"/>
    <col min="41" max="41" width="8.15384615384615" style="31" customWidth="1"/>
    <col min="42" max="42" width="6.69230769230769" style="31" customWidth="1"/>
    <col min="43" max="43" width="11.0769230769231" style="31" customWidth="1"/>
    <col min="44" max="44" width="6.69230769230769" style="31" customWidth="1"/>
    <col min="45" max="45" width="3.84615384615385" style="31" customWidth="1"/>
    <col min="46" max="46" width="6.69230769230769" style="31" customWidth="1"/>
    <col min="47" max="47" width="8.15384615384615" style="31" customWidth="1"/>
    <col min="48" max="48" width="7.69230769230769" style="31" customWidth="1"/>
    <col min="49" max="49" width="6" style="31" customWidth="1"/>
    <col min="50" max="50" width="7.69230769230769" style="31" customWidth="1"/>
    <col min="51" max="51" width="9.61538461538461" style="31" customWidth="1"/>
    <col min="52" max="52" width="6.69230769230769" style="31" customWidth="1"/>
    <col min="53" max="53" width="5.66346153846154" style="31" customWidth="1"/>
    <col min="54" max="54" width="6.69230769230769" style="31" customWidth="1"/>
    <col min="55" max="55" width="6" style="31" customWidth="1"/>
    <col min="56" max="56" width="6.69230769230769" style="31" customWidth="1"/>
    <col min="57" max="57" width="7.66346153846154" style="31" customWidth="1"/>
    <col min="58" max="58" width="6.69230769230769" style="31" customWidth="1"/>
    <col min="59" max="59" width="6" style="31" customWidth="1"/>
    <col min="60" max="60" width="6.69230769230769" style="31" customWidth="1"/>
    <col min="61" max="61" width="6" style="31" customWidth="1"/>
    <col min="62" max="62" width="6.69230769230769" style="31" customWidth="1"/>
    <col min="63" max="63" width="6" style="31" customWidth="1"/>
    <col min="64" max="64" width="7.69230769230769" style="31" customWidth="1"/>
    <col min="65" max="65" width="8.15384615384615" style="31" customWidth="1"/>
    <col min="66" max="66" width="32.1538461538462" style="31" customWidth="1"/>
    <col min="67" max="14413" width="8.875" style="31"/>
  </cols>
  <sheetData>
    <row r="1" s="31" customFormat="1" spans="3:58">
      <c r="C1" s="82" t="s">
        <v>241</v>
      </c>
      <c r="D1" s="83"/>
      <c r="E1" s="83"/>
      <c r="F1" s="84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61"/>
      <c r="BA1" s="71"/>
      <c r="BB1" s="71"/>
      <c r="BE1" s="20" t="s">
        <v>242</v>
      </c>
      <c r="BF1" s="20"/>
    </row>
    <row r="2" s="31" customFormat="1" spans="1:66">
      <c r="A2" s="1"/>
      <c r="B2" s="34" t="s">
        <v>1</v>
      </c>
      <c r="C2" s="35">
        <v>44105</v>
      </c>
      <c r="D2" s="36"/>
      <c r="E2" s="35">
        <v>44106</v>
      </c>
      <c r="F2" s="36"/>
      <c r="G2" s="35">
        <v>44107</v>
      </c>
      <c r="H2" s="36"/>
      <c r="I2" s="35">
        <v>44108</v>
      </c>
      <c r="J2" s="36"/>
      <c r="K2" s="35">
        <v>44109</v>
      </c>
      <c r="L2" s="36"/>
      <c r="M2" s="35">
        <v>44110</v>
      </c>
      <c r="N2" s="36"/>
      <c r="O2" s="35">
        <v>44111</v>
      </c>
      <c r="P2" s="36"/>
      <c r="Q2" s="35">
        <v>44112</v>
      </c>
      <c r="R2" s="36"/>
      <c r="S2" s="35">
        <v>44113</v>
      </c>
      <c r="T2" s="36"/>
      <c r="U2" s="35">
        <v>44114</v>
      </c>
      <c r="V2" s="36"/>
      <c r="W2" s="35">
        <v>44115</v>
      </c>
      <c r="X2" s="36"/>
      <c r="Y2" s="35">
        <v>44116</v>
      </c>
      <c r="Z2" s="36"/>
      <c r="AA2" s="35">
        <v>44117</v>
      </c>
      <c r="AB2" s="36"/>
      <c r="AC2" s="35">
        <v>44118</v>
      </c>
      <c r="AD2" s="36"/>
      <c r="AE2" s="35">
        <v>44119</v>
      </c>
      <c r="AF2" s="36"/>
      <c r="AG2" s="35">
        <v>44120</v>
      </c>
      <c r="AH2" s="36"/>
      <c r="AI2" s="35">
        <v>44121</v>
      </c>
      <c r="AJ2" s="36"/>
      <c r="AK2" s="35">
        <v>44122</v>
      </c>
      <c r="AL2" s="36"/>
      <c r="AM2" s="35">
        <v>44123</v>
      </c>
      <c r="AN2" s="36"/>
      <c r="AO2" s="35">
        <v>44124</v>
      </c>
      <c r="AP2" s="36"/>
      <c r="AQ2" s="35">
        <v>44125</v>
      </c>
      <c r="AR2" s="36"/>
      <c r="AS2" s="35">
        <v>44126</v>
      </c>
      <c r="AT2" s="36"/>
      <c r="AU2" s="35">
        <v>44127</v>
      </c>
      <c r="AV2" s="36"/>
      <c r="AW2" s="35">
        <v>44128</v>
      </c>
      <c r="AX2" s="36"/>
      <c r="AY2" s="35">
        <v>44129</v>
      </c>
      <c r="AZ2" s="36"/>
      <c r="BA2" s="35">
        <v>44130</v>
      </c>
      <c r="BB2" s="36"/>
      <c r="BC2" s="35">
        <v>44131</v>
      </c>
      <c r="BD2" s="36"/>
      <c r="BE2" s="35">
        <v>44132</v>
      </c>
      <c r="BF2" s="36"/>
      <c r="BG2" s="35">
        <v>44133</v>
      </c>
      <c r="BH2" s="36"/>
      <c r="BI2" s="35">
        <v>44134</v>
      </c>
      <c r="BJ2" s="36"/>
      <c r="BK2" s="35">
        <v>44135</v>
      </c>
      <c r="BL2" s="36"/>
      <c r="BM2" s="2" t="s">
        <v>3</v>
      </c>
      <c r="BN2" s="34" t="s">
        <v>1</v>
      </c>
    </row>
    <row r="3" s="31" customFormat="1" spans="1:66">
      <c r="A3" s="9" t="s">
        <v>4</v>
      </c>
      <c r="B3" s="37" t="s">
        <v>5</v>
      </c>
      <c r="C3" s="38"/>
      <c r="D3" s="39"/>
      <c r="E3" s="57"/>
      <c r="F3" s="58"/>
      <c r="G3" s="40"/>
      <c r="H3" s="39"/>
      <c r="I3" s="38"/>
      <c r="J3" s="39"/>
      <c r="K3" s="38"/>
      <c r="L3" s="39"/>
      <c r="M3" s="38"/>
      <c r="N3" s="39">
        <v>11.2</v>
      </c>
      <c r="O3" s="38"/>
      <c r="P3" s="39"/>
      <c r="Q3" s="38"/>
      <c r="R3" s="39"/>
      <c r="S3" s="38"/>
      <c r="T3" s="39"/>
      <c r="U3" s="51"/>
      <c r="V3" s="63"/>
      <c r="W3" s="9"/>
      <c r="X3" s="63"/>
      <c r="Y3" s="9"/>
      <c r="Z3" s="51"/>
      <c r="AA3" s="9"/>
      <c r="AB3" s="51"/>
      <c r="AC3" s="9"/>
      <c r="AD3" s="51">
        <v>15</v>
      </c>
      <c r="AE3" s="9"/>
      <c r="AF3" s="51">
        <v>5.8</v>
      </c>
      <c r="AG3" s="9"/>
      <c r="AH3" s="51"/>
      <c r="AI3" s="9"/>
      <c r="AJ3" s="51">
        <v>6.5</v>
      </c>
      <c r="AK3" s="9"/>
      <c r="AL3" s="51"/>
      <c r="AM3" s="9"/>
      <c r="AN3" s="51"/>
      <c r="AO3" s="9"/>
      <c r="AP3" s="51">
        <v>13.5</v>
      </c>
      <c r="AQ3" s="9"/>
      <c r="AR3" s="51">
        <v>15</v>
      </c>
      <c r="AS3" s="9"/>
      <c r="AT3" s="51">
        <v>8.5</v>
      </c>
      <c r="AU3" s="9"/>
      <c r="AV3" s="63"/>
      <c r="AW3" s="51"/>
      <c r="AX3" s="63">
        <v>8</v>
      </c>
      <c r="AY3" s="9"/>
      <c r="AZ3" s="63"/>
      <c r="BA3" s="9"/>
      <c r="BB3" s="63"/>
      <c r="BC3" s="9"/>
      <c r="BD3" s="63"/>
      <c r="BE3" s="9"/>
      <c r="BF3" s="63">
        <v>91.5</v>
      </c>
      <c r="BG3" s="9"/>
      <c r="BH3" s="63"/>
      <c r="BI3" s="51"/>
      <c r="BJ3" s="51">
        <v>9</v>
      </c>
      <c r="BK3" s="9"/>
      <c r="BL3" s="51"/>
      <c r="BM3" s="7">
        <f>SUM(C3:BL6)</f>
        <v>1533.1</v>
      </c>
      <c r="BN3" s="37" t="s">
        <v>5</v>
      </c>
    </row>
    <row r="4" s="31" customFormat="1" spans="1:66">
      <c r="A4" s="9"/>
      <c r="B4" s="37" t="s">
        <v>6</v>
      </c>
      <c r="C4" s="38"/>
      <c r="D4" s="39">
        <v>18</v>
      </c>
      <c r="E4" s="40"/>
      <c r="F4" s="39">
        <v>12</v>
      </c>
      <c r="G4" s="40"/>
      <c r="H4" s="39">
        <v>11</v>
      </c>
      <c r="I4" s="38"/>
      <c r="J4" s="39">
        <v>22.5</v>
      </c>
      <c r="K4" s="38"/>
      <c r="L4" s="39">
        <v>11</v>
      </c>
      <c r="M4" s="38"/>
      <c r="N4" s="39">
        <v>13</v>
      </c>
      <c r="O4" s="38"/>
      <c r="P4" s="39">
        <v>14</v>
      </c>
      <c r="Q4" s="38"/>
      <c r="R4" s="39">
        <v>11</v>
      </c>
      <c r="S4" s="38"/>
      <c r="T4" s="39">
        <v>13</v>
      </c>
      <c r="U4" s="51"/>
      <c r="V4" s="63">
        <v>15.5</v>
      </c>
      <c r="W4" s="9"/>
      <c r="X4" s="63">
        <v>12</v>
      </c>
      <c r="Y4" s="9"/>
      <c r="Z4" s="51">
        <v>16</v>
      </c>
      <c r="AA4" s="9"/>
      <c r="AB4" s="51">
        <v>17.5</v>
      </c>
      <c r="AC4" s="9"/>
      <c r="AD4" s="51">
        <v>12</v>
      </c>
      <c r="AE4" s="9"/>
      <c r="AF4" s="51">
        <v>12</v>
      </c>
      <c r="AG4" s="9"/>
      <c r="AH4" s="51">
        <v>12</v>
      </c>
      <c r="AI4" s="9"/>
      <c r="AJ4" s="51"/>
      <c r="AK4" s="9"/>
      <c r="AL4" s="51">
        <v>13</v>
      </c>
      <c r="AM4" s="9"/>
      <c r="AN4" s="51">
        <v>20</v>
      </c>
      <c r="AO4" s="9"/>
      <c r="AP4" s="51"/>
      <c r="AQ4" s="9"/>
      <c r="AR4" s="51">
        <v>12.8</v>
      </c>
      <c r="AS4" s="9"/>
      <c r="AT4" s="51">
        <v>12</v>
      </c>
      <c r="AU4" s="9"/>
      <c r="AV4" s="63"/>
      <c r="AW4" s="51"/>
      <c r="AX4" s="63"/>
      <c r="AY4" s="9"/>
      <c r="AZ4" s="63"/>
      <c r="BA4" s="9"/>
      <c r="BB4" s="63">
        <v>13</v>
      </c>
      <c r="BC4" s="9"/>
      <c r="BD4" s="63">
        <v>12</v>
      </c>
      <c r="BE4" s="9"/>
      <c r="BF4" s="63"/>
      <c r="BG4" s="9"/>
      <c r="BH4" s="63">
        <v>19</v>
      </c>
      <c r="BI4" s="51"/>
      <c r="BJ4" s="51"/>
      <c r="BK4" s="9"/>
      <c r="BL4" s="51"/>
      <c r="BM4" s="7"/>
      <c r="BN4" s="37" t="s">
        <v>6</v>
      </c>
    </row>
    <row r="5" s="31" customFormat="1" spans="1:66">
      <c r="A5" s="9"/>
      <c r="B5" s="37" t="s">
        <v>7</v>
      </c>
      <c r="C5" s="38"/>
      <c r="D5" s="40">
        <v>89</v>
      </c>
      <c r="E5" s="38"/>
      <c r="F5" s="40"/>
      <c r="G5" s="38" t="s">
        <v>243</v>
      </c>
      <c r="H5" s="40">
        <v>120</v>
      </c>
      <c r="I5" s="38"/>
      <c r="J5" s="39"/>
      <c r="K5" s="38"/>
      <c r="L5" s="39">
        <v>22.5</v>
      </c>
      <c r="M5" s="38"/>
      <c r="N5" s="39"/>
      <c r="O5" s="38"/>
      <c r="P5" s="39">
        <v>16.5</v>
      </c>
      <c r="Q5" s="38"/>
      <c r="R5" s="39">
        <v>16.5</v>
      </c>
      <c r="S5" s="38"/>
      <c r="T5" s="39">
        <v>10.7</v>
      </c>
      <c r="U5" s="51"/>
      <c r="V5" s="63">
        <v>15.5</v>
      </c>
      <c r="W5" s="9"/>
      <c r="X5" s="63">
        <v>14</v>
      </c>
      <c r="Y5" s="9"/>
      <c r="Z5" s="51">
        <v>37</v>
      </c>
      <c r="AA5" s="9"/>
      <c r="AB5" s="51">
        <v>15</v>
      </c>
      <c r="AC5" s="9"/>
      <c r="AD5" s="51">
        <v>9.5</v>
      </c>
      <c r="AE5" s="9" t="s">
        <v>244</v>
      </c>
      <c r="AF5" s="51">
        <v>120</v>
      </c>
      <c r="AG5" s="9"/>
      <c r="AH5" s="51">
        <v>12.5</v>
      </c>
      <c r="AI5" s="9"/>
      <c r="AJ5" s="51"/>
      <c r="AK5" s="9" t="s">
        <v>245</v>
      </c>
      <c r="AL5" s="51">
        <v>52</v>
      </c>
      <c r="AM5" s="9"/>
      <c r="AN5" s="51">
        <v>18</v>
      </c>
      <c r="AO5" s="9"/>
      <c r="AP5" s="51"/>
      <c r="AQ5" s="9"/>
      <c r="AR5" s="51">
        <v>12</v>
      </c>
      <c r="AS5" s="9"/>
      <c r="AT5" s="51">
        <v>12</v>
      </c>
      <c r="AU5" s="9"/>
      <c r="AV5" s="63">
        <v>18.8</v>
      </c>
      <c r="AW5" s="51"/>
      <c r="AX5" s="63">
        <v>51</v>
      </c>
      <c r="AY5" s="9"/>
      <c r="AZ5" s="63">
        <v>12</v>
      </c>
      <c r="BA5" s="9"/>
      <c r="BB5" s="63">
        <v>9.5</v>
      </c>
      <c r="BC5" s="9"/>
      <c r="BD5" s="63">
        <v>8</v>
      </c>
      <c r="BE5" s="9"/>
      <c r="BF5" s="63"/>
      <c r="BG5" s="9"/>
      <c r="BH5" s="63">
        <v>15</v>
      </c>
      <c r="BI5" s="51"/>
      <c r="BJ5" s="51">
        <v>34</v>
      </c>
      <c r="BK5" s="9"/>
      <c r="BL5" s="51"/>
      <c r="BM5" s="7"/>
      <c r="BN5" s="37" t="s">
        <v>7</v>
      </c>
    </row>
    <row r="6" s="31" customFormat="1" spans="1:66">
      <c r="A6" s="4"/>
      <c r="B6" s="41" t="s">
        <v>8</v>
      </c>
      <c r="C6" s="42"/>
      <c r="D6" s="43"/>
      <c r="E6" s="42"/>
      <c r="F6" s="43"/>
      <c r="G6" s="42" t="s">
        <v>246</v>
      </c>
      <c r="H6" s="43">
        <v>50</v>
      </c>
      <c r="I6" s="42"/>
      <c r="J6" s="60"/>
      <c r="K6" s="42"/>
      <c r="L6" s="60"/>
      <c r="M6" s="42"/>
      <c r="N6" s="60"/>
      <c r="O6" s="42"/>
      <c r="P6" s="60"/>
      <c r="Q6" s="42"/>
      <c r="R6" s="60"/>
      <c r="S6" s="42"/>
      <c r="T6" s="60"/>
      <c r="U6" s="64"/>
      <c r="V6" s="65"/>
      <c r="W6" s="4"/>
      <c r="X6" s="65"/>
      <c r="Y6" s="4" t="s">
        <v>247</v>
      </c>
      <c r="Z6" s="64">
        <f>35+112</f>
        <v>147</v>
      </c>
      <c r="AA6" s="4"/>
      <c r="AB6" s="64"/>
      <c r="AC6" s="4"/>
      <c r="AD6" s="64"/>
      <c r="AE6" s="4"/>
      <c r="AF6" s="64"/>
      <c r="AG6" s="4"/>
      <c r="AH6" s="64"/>
      <c r="AI6" s="4"/>
      <c r="AJ6" s="64"/>
      <c r="AK6" s="4"/>
      <c r="AL6" s="64"/>
      <c r="AM6" s="4"/>
      <c r="AN6" s="64"/>
      <c r="AO6" s="4"/>
      <c r="AP6" s="64"/>
      <c r="AQ6" s="4"/>
      <c r="AR6" s="64">
        <v>5.8</v>
      </c>
      <c r="AS6" s="4"/>
      <c r="AT6" s="64"/>
      <c r="AU6" s="4" t="s">
        <v>248</v>
      </c>
      <c r="AV6" s="65">
        <v>57</v>
      </c>
      <c r="AW6" s="64"/>
      <c r="AX6" s="65"/>
      <c r="AY6" s="4"/>
      <c r="AZ6" s="65"/>
      <c r="BA6" s="4"/>
      <c r="BB6" s="65"/>
      <c r="BC6" s="4"/>
      <c r="BD6" s="65"/>
      <c r="BE6" s="4"/>
      <c r="BF6" s="65"/>
      <c r="BG6" s="4" t="s">
        <v>249</v>
      </c>
      <c r="BH6" s="65">
        <v>18</v>
      </c>
      <c r="BI6" s="64" t="s">
        <v>249</v>
      </c>
      <c r="BJ6" s="64">
        <v>6</v>
      </c>
      <c r="BK6" s="4"/>
      <c r="BL6" s="64"/>
      <c r="BM6" s="7"/>
      <c r="BN6" s="41" t="s">
        <v>8</v>
      </c>
    </row>
    <row r="7" s="31" customFormat="1" spans="1:66">
      <c r="A7" s="8" t="s">
        <v>10</v>
      </c>
      <c r="B7" s="44" t="s">
        <v>11</v>
      </c>
      <c r="C7" s="38"/>
      <c r="D7" s="39">
        <f>5+136</f>
        <v>141</v>
      </c>
      <c r="E7" s="57"/>
      <c r="F7" s="57">
        <f>45.46+132</f>
        <v>177.46</v>
      </c>
      <c r="G7" s="59"/>
      <c r="H7" s="58"/>
      <c r="I7" s="57"/>
      <c r="J7" s="58">
        <v>11</v>
      </c>
      <c r="K7" s="57"/>
      <c r="L7" s="58">
        <v>52</v>
      </c>
      <c r="M7" s="57"/>
      <c r="N7" s="39"/>
      <c r="O7" s="57"/>
      <c r="P7" s="58"/>
      <c r="Q7" s="57"/>
      <c r="R7" s="58">
        <v>4</v>
      </c>
      <c r="S7" s="57"/>
      <c r="T7" s="39">
        <v>17</v>
      </c>
      <c r="U7" s="66"/>
      <c r="V7" s="67">
        <v>11.5</v>
      </c>
      <c r="W7" s="8"/>
      <c r="X7" s="67"/>
      <c r="Y7" s="8"/>
      <c r="Z7" s="66"/>
      <c r="AA7" s="8"/>
      <c r="AB7" s="66"/>
      <c r="AC7" s="8"/>
      <c r="AD7" s="66"/>
      <c r="AE7" s="8"/>
      <c r="AF7" s="66"/>
      <c r="AG7" s="8"/>
      <c r="AH7" s="66"/>
      <c r="AI7" s="8"/>
      <c r="AJ7" s="66">
        <v>5</v>
      </c>
      <c r="AK7" s="8"/>
      <c r="AL7" s="66"/>
      <c r="AM7" s="8"/>
      <c r="AN7" s="66"/>
      <c r="AO7" s="8"/>
      <c r="AP7" s="66">
        <v>13.19</v>
      </c>
      <c r="AQ7" s="8"/>
      <c r="AR7" s="66"/>
      <c r="AS7" s="8"/>
      <c r="AT7" s="66"/>
      <c r="AU7" s="8"/>
      <c r="AV7" s="67"/>
      <c r="AW7" s="66"/>
      <c r="AX7" s="67">
        <v>75.6</v>
      </c>
      <c r="AY7" s="8"/>
      <c r="AZ7" s="67"/>
      <c r="BA7" s="8"/>
      <c r="BB7" s="67"/>
      <c r="BC7" s="8"/>
      <c r="BD7" s="67"/>
      <c r="BE7" s="8"/>
      <c r="BF7" s="67"/>
      <c r="BG7" s="8"/>
      <c r="BH7" s="67">
        <v>19</v>
      </c>
      <c r="BI7" s="66"/>
      <c r="BJ7" s="66"/>
      <c r="BK7" s="8"/>
      <c r="BL7" s="66">
        <v>20</v>
      </c>
      <c r="BM7" s="7">
        <f>SUM(C7:BL7)</f>
        <v>546.75</v>
      </c>
      <c r="BN7" s="44" t="s">
        <v>11</v>
      </c>
    </row>
    <row r="8" s="31" customFormat="1" spans="1:66">
      <c r="A8" s="9"/>
      <c r="B8" s="44" t="s">
        <v>15</v>
      </c>
      <c r="C8" s="38"/>
      <c r="D8" s="39"/>
      <c r="E8" s="40"/>
      <c r="F8" s="40"/>
      <c r="G8" s="38"/>
      <c r="H8" s="39"/>
      <c r="I8" s="40"/>
      <c r="J8" s="39"/>
      <c r="K8" s="40"/>
      <c r="L8" s="39"/>
      <c r="M8" s="40"/>
      <c r="N8" s="39"/>
      <c r="O8" s="40"/>
      <c r="P8" s="39"/>
      <c r="Q8" s="40"/>
      <c r="R8" s="39"/>
      <c r="S8" s="62"/>
      <c r="T8" s="39"/>
      <c r="U8" s="51"/>
      <c r="V8" s="63"/>
      <c r="W8" s="9"/>
      <c r="X8" s="63"/>
      <c r="Y8" s="9"/>
      <c r="Z8" s="51"/>
      <c r="AA8" s="9"/>
      <c r="AB8" s="51"/>
      <c r="AC8" s="9"/>
      <c r="AD8" s="51"/>
      <c r="AE8" s="9"/>
      <c r="AF8" s="51"/>
      <c r="AG8" s="9"/>
      <c r="AH8" s="51"/>
      <c r="AI8" s="9"/>
      <c r="AJ8" s="51"/>
      <c r="AK8" s="9"/>
      <c r="AL8" s="51"/>
      <c r="AM8" s="9"/>
      <c r="AN8" s="51"/>
      <c r="AO8" s="9"/>
      <c r="AP8" s="51"/>
      <c r="AQ8" s="9"/>
      <c r="AR8" s="51"/>
      <c r="AS8" s="9"/>
      <c r="AT8" s="51"/>
      <c r="AU8" s="9"/>
      <c r="AV8" s="63"/>
      <c r="AW8" s="51"/>
      <c r="AX8" s="63"/>
      <c r="AY8" s="9"/>
      <c r="AZ8" s="63"/>
      <c r="BA8" s="9"/>
      <c r="BB8" s="63"/>
      <c r="BC8" s="9"/>
      <c r="BD8" s="63"/>
      <c r="BE8" s="9"/>
      <c r="BF8" s="63"/>
      <c r="BG8" s="9"/>
      <c r="BH8" s="63"/>
      <c r="BI8" s="51"/>
      <c r="BJ8" s="51"/>
      <c r="BK8" s="9"/>
      <c r="BL8" s="51"/>
      <c r="BM8" s="7">
        <f>SUM(C8:BL8)</f>
        <v>0</v>
      </c>
      <c r="BN8" s="44" t="s">
        <v>15</v>
      </c>
    </row>
    <row r="9" s="31" customFormat="1" spans="1:66">
      <c r="A9" s="9"/>
      <c r="B9" s="45" t="s">
        <v>227</v>
      </c>
      <c r="C9" s="38"/>
      <c r="D9" s="39"/>
      <c r="E9" s="40"/>
      <c r="F9" s="40"/>
      <c r="G9" s="38" t="s">
        <v>250</v>
      </c>
      <c r="H9" s="39">
        <v>39</v>
      </c>
      <c r="I9" s="40"/>
      <c r="J9" s="39"/>
      <c r="K9" s="40"/>
      <c r="L9" s="39"/>
      <c r="M9" s="40" t="s">
        <v>251</v>
      </c>
      <c r="N9" s="39">
        <v>64.67</v>
      </c>
      <c r="O9" s="40" t="s">
        <v>252</v>
      </c>
      <c r="P9" s="39">
        <v>18.5</v>
      </c>
      <c r="Q9" s="40"/>
      <c r="R9" s="39"/>
      <c r="S9" s="38" t="s">
        <v>251</v>
      </c>
      <c r="T9" s="39">
        <v>46.88</v>
      </c>
      <c r="U9" s="51"/>
      <c r="V9" s="63"/>
      <c r="W9" s="9"/>
      <c r="X9" s="63"/>
      <c r="Y9" s="9"/>
      <c r="Z9" s="51"/>
      <c r="AA9" s="9"/>
      <c r="AB9" s="51"/>
      <c r="AC9" s="9"/>
      <c r="AD9" s="51"/>
      <c r="AE9" s="9"/>
      <c r="AF9" s="51"/>
      <c r="AG9" s="9"/>
      <c r="AH9" s="51"/>
      <c r="AI9" s="9"/>
      <c r="AJ9" s="51"/>
      <c r="AK9" s="9"/>
      <c r="AL9" s="51"/>
      <c r="AM9" s="9" t="s">
        <v>253</v>
      </c>
      <c r="AN9" s="51">
        <v>12</v>
      </c>
      <c r="AO9" s="9"/>
      <c r="AP9" s="51"/>
      <c r="AQ9" s="9" t="s">
        <v>254</v>
      </c>
      <c r="AR9" s="51">
        <v>14</v>
      </c>
      <c r="AS9" s="9"/>
      <c r="AT9" s="51"/>
      <c r="AU9" s="9"/>
      <c r="AV9" s="63"/>
      <c r="AW9" s="51"/>
      <c r="AX9" s="63"/>
      <c r="AY9" s="9"/>
      <c r="AZ9" s="63"/>
      <c r="BA9" s="9"/>
      <c r="BB9" s="63"/>
      <c r="BC9" s="9"/>
      <c r="BD9" s="63"/>
      <c r="BE9" s="9"/>
      <c r="BF9" s="63"/>
      <c r="BG9" s="9"/>
      <c r="BH9" s="63"/>
      <c r="BI9" s="51"/>
      <c r="BJ9" s="51"/>
      <c r="BK9" s="9"/>
      <c r="BL9" s="51"/>
      <c r="BM9" s="7">
        <f t="shared" ref="BM9:BM20" si="0">SUM(C9:BL9)</f>
        <v>195.05</v>
      </c>
      <c r="BN9" s="45" t="s">
        <v>227</v>
      </c>
    </row>
    <row r="10" s="31" customFormat="1" spans="1:66">
      <c r="A10" s="9"/>
      <c r="B10" s="46" t="s">
        <v>21</v>
      </c>
      <c r="C10" s="38"/>
      <c r="D10" s="39"/>
      <c r="E10" s="40"/>
      <c r="F10" s="40"/>
      <c r="G10" s="38"/>
      <c r="H10" s="39"/>
      <c r="I10" s="40"/>
      <c r="J10" s="40"/>
      <c r="K10" s="38"/>
      <c r="L10" s="39"/>
      <c r="M10" s="38"/>
      <c r="N10" s="39"/>
      <c r="O10" s="38"/>
      <c r="P10" s="39"/>
      <c r="Q10" s="38"/>
      <c r="R10" s="39"/>
      <c r="S10" s="38"/>
      <c r="T10" s="39"/>
      <c r="U10" s="51" t="s">
        <v>255</v>
      </c>
      <c r="V10" s="63">
        <v>30</v>
      </c>
      <c r="W10" s="9"/>
      <c r="X10" s="63"/>
      <c r="Y10" s="9"/>
      <c r="Z10" s="51"/>
      <c r="AA10" s="9"/>
      <c r="AB10" s="51"/>
      <c r="AC10" s="9"/>
      <c r="AD10" s="51"/>
      <c r="AE10" s="9"/>
      <c r="AF10" s="51"/>
      <c r="AG10" s="9" t="s">
        <v>66</v>
      </c>
      <c r="AH10" s="51">
        <v>6</v>
      </c>
      <c r="AI10" s="9"/>
      <c r="AJ10" s="51"/>
      <c r="AK10" s="9"/>
      <c r="AL10" s="51"/>
      <c r="AM10" s="9"/>
      <c r="AN10" s="51"/>
      <c r="AO10" s="9"/>
      <c r="AP10" s="51"/>
      <c r="AQ10" s="9"/>
      <c r="AR10" s="51"/>
      <c r="AS10" s="9"/>
      <c r="AT10" s="51"/>
      <c r="AU10" s="9"/>
      <c r="AV10" s="63"/>
      <c r="AW10" s="51"/>
      <c r="AX10" s="63"/>
      <c r="AY10" s="9"/>
      <c r="AZ10" s="63"/>
      <c r="BA10" s="9"/>
      <c r="BB10" s="63"/>
      <c r="BC10" s="9" t="s">
        <v>256</v>
      </c>
      <c r="BD10" s="63">
        <v>12</v>
      </c>
      <c r="BE10" s="9"/>
      <c r="BF10" s="63"/>
      <c r="BG10" s="9"/>
      <c r="BH10" s="63"/>
      <c r="BI10" s="51"/>
      <c r="BJ10" s="51"/>
      <c r="BK10" s="9"/>
      <c r="BL10" s="51"/>
      <c r="BM10" s="7">
        <f t="shared" si="0"/>
        <v>48</v>
      </c>
      <c r="BN10" s="46" t="s">
        <v>21</v>
      </c>
    </row>
    <row r="11" s="31" customFormat="1" spans="1:66">
      <c r="A11" s="9"/>
      <c r="B11" s="46" t="s">
        <v>26</v>
      </c>
      <c r="C11" s="38"/>
      <c r="D11" s="40"/>
      <c r="E11" s="38"/>
      <c r="F11" s="39"/>
      <c r="G11" s="38" t="s">
        <v>257</v>
      </c>
      <c r="H11" s="39">
        <v>106</v>
      </c>
      <c r="I11" s="38"/>
      <c r="J11" s="39"/>
      <c r="K11" s="38"/>
      <c r="L11" s="39"/>
      <c r="M11" s="38"/>
      <c r="N11" s="39"/>
      <c r="O11" s="38"/>
      <c r="P11" s="39"/>
      <c r="Q11" s="38"/>
      <c r="R11" s="39"/>
      <c r="S11" s="38" t="s">
        <v>258</v>
      </c>
      <c r="T11" s="39">
        <v>264</v>
      </c>
      <c r="U11" s="51"/>
      <c r="V11" s="63"/>
      <c r="W11" s="9"/>
      <c r="X11" s="63"/>
      <c r="Y11" s="9"/>
      <c r="Z11" s="51"/>
      <c r="AA11" s="9"/>
      <c r="AB11" s="51"/>
      <c r="AC11" s="9"/>
      <c r="AD11" s="51"/>
      <c r="AE11" s="9"/>
      <c r="AF11" s="51"/>
      <c r="AG11" s="9"/>
      <c r="AH11" s="51"/>
      <c r="AI11" s="9"/>
      <c r="AJ11" s="51"/>
      <c r="AK11" s="9"/>
      <c r="AL11" s="51"/>
      <c r="AM11" s="9"/>
      <c r="AN11" s="51"/>
      <c r="AO11" s="9" t="s">
        <v>143</v>
      </c>
      <c r="AP11" s="51">
        <v>70</v>
      </c>
      <c r="AQ11" s="9"/>
      <c r="AR11" s="51"/>
      <c r="AS11" s="9"/>
      <c r="AT11" s="51"/>
      <c r="AU11" s="9"/>
      <c r="AV11" s="63"/>
      <c r="AW11" s="51"/>
      <c r="AX11" s="63"/>
      <c r="AY11" s="9"/>
      <c r="AZ11" s="63"/>
      <c r="BA11" s="9"/>
      <c r="BB11" s="63"/>
      <c r="BC11" s="9"/>
      <c r="BD11" s="63"/>
      <c r="BE11" s="9"/>
      <c r="BF11" s="63"/>
      <c r="BG11" s="9"/>
      <c r="BH11" s="63"/>
      <c r="BI11" s="51"/>
      <c r="BJ11" s="51"/>
      <c r="BK11" s="9"/>
      <c r="BL11" s="51"/>
      <c r="BM11" s="7">
        <f t="shared" si="0"/>
        <v>440</v>
      </c>
      <c r="BN11" s="46" t="s">
        <v>26</v>
      </c>
    </row>
    <row r="12" s="31" customFormat="1" spans="1:66">
      <c r="A12" s="9"/>
      <c r="B12" s="46" t="s">
        <v>29</v>
      </c>
      <c r="C12" s="38"/>
      <c r="D12" s="40">
        <v>127</v>
      </c>
      <c r="E12" s="38"/>
      <c r="F12" s="39"/>
      <c r="G12" s="38"/>
      <c r="H12" s="39"/>
      <c r="I12" s="38"/>
      <c r="J12" s="39"/>
      <c r="K12" s="38"/>
      <c r="L12" s="39"/>
      <c r="M12" s="38"/>
      <c r="N12" s="39"/>
      <c r="O12" s="38"/>
      <c r="P12" s="39"/>
      <c r="Q12" s="38"/>
      <c r="R12" s="39"/>
      <c r="S12" s="38"/>
      <c r="T12" s="39">
        <v>31</v>
      </c>
      <c r="U12" s="51"/>
      <c r="V12" s="63"/>
      <c r="W12" s="9"/>
      <c r="X12" s="63"/>
      <c r="Y12" s="9"/>
      <c r="Z12" s="51"/>
      <c r="AA12" s="9"/>
      <c r="AB12" s="51"/>
      <c r="AC12" s="9"/>
      <c r="AD12" s="51"/>
      <c r="AE12" s="9"/>
      <c r="AF12" s="51"/>
      <c r="AG12" s="9"/>
      <c r="AH12" s="51"/>
      <c r="AI12" s="9"/>
      <c r="AJ12" s="51"/>
      <c r="AK12" s="9"/>
      <c r="AL12" s="51"/>
      <c r="AM12" s="9"/>
      <c r="AN12" s="51"/>
      <c r="AO12" s="9"/>
      <c r="AP12" s="51"/>
      <c r="AQ12" s="9"/>
      <c r="AR12" s="51"/>
      <c r="AS12" s="9"/>
      <c r="AT12" s="51"/>
      <c r="AU12" s="9"/>
      <c r="AV12" s="63"/>
      <c r="AW12" s="51"/>
      <c r="AX12" s="63"/>
      <c r="AY12" s="9"/>
      <c r="AZ12" s="63"/>
      <c r="BA12" s="9"/>
      <c r="BB12" s="63"/>
      <c r="BC12" s="9"/>
      <c r="BD12" s="63"/>
      <c r="BE12" s="9"/>
      <c r="BF12" s="63">
        <v>55</v>
      </c>
      <c r="BG12" s="9"/>
      <c r="BH12" s="63">
        <v>55</v>
      </c>
      <c r="BI12" s="51"/>
      <c r="BJ12" s="51"/>
      <c r="BK12" s="9"/>
      <c r="BL12" s="51"/>
      <c r="BM12" s="7">
        <f t="shared" si="0"/>
        <v>268</v>
      </c>
      <c r="BN12" s="46" t="s">
        <v>29</v>
      </c>
    </row>
    <row r="13" s="31" customFormat="1" spans="1:66">
      <c r="A13" s="14" t="s">
        <v>30</v>
      </c>
      <c r="B13" s="47" t="s">
        <v>31</v>
      </c>
      <c r="C13" s="10"/>
      <c r="D13" s="14"/>
      <c r="E13" s="10"/>
      <c r="F13" s="14"/>
      <c r="G13" s="10"/>
      <c r="H13" s="14"/>
      <c r="I13" s="10"/>
      <c r="J13" s="14"/>
      <c r="K13" s="10"/>
      <c r="L13" s="14"/>
      <c r="M13" s="10"/>
      <c r="N13" s="14"/>
      <c r="O13" s="10"/>
      <c r="P13" s="14"/>
      <c r="Q13" s="10"/>
      <c r="R13" s="14"/>
      <c r="S13" s="10"/>
      <c r="T13" s="14"/>
      <c r="U13" s="10"/>
      <c r="V13" s="14"/>
      <c r="W13" s="10"/>
      <c r="X13" s="14"/>
      <c r="Y13" s="10"/>
      <c r="Z13" s="14"/>
      <c r="AA13" s="10"/>
      <c r="AB13" s="14"/>
      <c r="AC13" s="10"/>
      <c r="AD13" s="14"/>
      <c r="AE13" s="10"/>
      <c r="AF13" s="14"/>
      <c r="AG13" s="10"/>
      <c r="AH13" s="14"/>
      <c r="AI13" s="10"/>
      <c r="AJ13" s="14"/>
      <c r="AK13" s="10" t="s">
        <v>259</v>
      </c>
      <c r="AL13" s="14">
        <v>60</v>
      </c>
      <c r="AM13" s="10"/>
      <c r="AN13" s="14"/>
      <c r="AO13" s="10" t="s">
        <v>34</v>
      </c>
      <c r="AP13" s="14">
        <v>16</v>
      </c>
      <c r="AQ13" s="10"/>
      <c r="AR13" s="14"/>
      <c r="AS13" s="10"/>
      <c r="AT13" s="14"/>
      <c r="AU13" s="10"/>
      <c r="AV13" s="14"/>
      <c r="AW13" s="10"/>
      <c r="AX13" s="14"/>
      <c r="AY13" s="10"/>
      <c r="AZ13" s="14">
        <v>12</v>
      </c>
      <c r="BA13" s="10"/>
      <c r="BB13" s="14"/>
      <c r="BC13" s="10"/>
      <c r="BD13" s="14"/>
      <c r="BE13" s="10"/>
      <c r="BF13" s="14"/>
      <c r="BG13" s="10"/>
      <c r="BH13" s="14"/>
      <c r="BI13" s="14"/>
      <c r="BJ13" s="14"/>
      <c r="BK13" s="10"/>
      <c r="BL13" s="14"/>
      <c r="BM13" s="7">
        <f t="shared" si="0"/>
        <v>88</v>
      </c>
      <c r="BN13" s="47" t="s">
        <v>31</v>
      </c>
    </row>
    <row r="14" s="31" customFormat="1" spans="1:66">
      <c r="A14" s="14" t="s">
        <v>35</v>
      </c>
      <c r="B14" s="47" t="s">
        <v>36</v>
      </c>
      <c r="C14" s="10" t="s">
        <v>260</v>
      </c>
      <c r="D14" s="14">
        <v>187</v>
      </c>
      <c r="E14" s="10"/>
      <c r="F14" s="14"/>
      <c r="G14" s="10"/>
      <c r="H14" s="14"/>
      <c r="I14" s="10"/>
      <c r="J14" s="14"/>
      <c r="K14" s="10" t="s">
        <v>213</v>
      </c>
      <c r="L14" s="14">
        <v>149.9</v>
      </c>
      <c r="M14" s="10"/>
      <c r="N14" s="14"/>
      <c r="O14" s="10"/>
      <c r="P14" s="14"/>
      <c r="Q14" s="10"/>
      <c r="R14" s="14"/>
      <c r="S14" s="10"/>
      <c r="T14" s="14"/>
      <c r="U14" s="10"/>
      <c r="V14" s="14"/>
      <c r="W14" s="10"/>
      <c r="X14" s="14"/>
      <c r="Y14" s="10"/>
      <c r="Z14" s="14"/>
      <c r="AA14" s="10"/>
      <c r="AB14" s="14"/>
      <c r="AC14" s="10"/>
      <c r="AD14" s="14"/>
      <c r="AE14" s="10"/>
      <c r="AF14" s="14"/>
      <c r="AG14" s="10"/>
      <c r="AH14" s="14"/>
      <c r="AI14" s="10"/>
      <c r="AJ14" s="14"/>
      <c r="AK14" s="10"/>
      <c r="AL14" s="14"/>
      <c r="AM14" s="10"/>
      <c r="AN14" s="14"/>
      <c r="AO14" s="10"/>
      <c r="AP14" s="14"/>
      <c r="AQ14" s="10"/>
      <c r="AR14" s="14"/>
      <c r="AS14" s="10"/>
      <c r="AT14" s="14"/>
      <c r="AU14" s="10" t="s">
        <v>261</v>
      </c>
      <c r="AV14" s="14">
        <v>170</v>
      </c>
      <c r="AW14" s="10"/>
      <c r="AX14" s="14"/>
      <c r="AY14" s="10"/>
      <c r="AZ14" s="14"/>
      <c r="BA14" s="10"/>
      <c r="BB14" s="14"/>
      <c r="BC14" s="10"/>
      <c r="BD14" s="14"/>
      <c r="BE14" s="10"/>
      <c r="BF14" s="14"/>
      <c r="BG14" s="10"/>
      <c r="BH14" s="14"/>
      <c r="BI14" s="14"/>
      <c r="BJ14" s="14"/>
      <c r="BK14" s="10"/>
      <c r="BL14" s="14"/>
      <c r="BM14" s="7">
        <f t="shared" si="0"/>
        <v>506.9</v>
      </c>
      <c r="BN14" s="47" t="s">
        <v>36</v>
      </c>
    </row>
    <row r="15" s="31" customFormat="1" spans="1:66">
      <c r="A15" s="14" t="s">
        <v>38</v>
      </c>
      <c r="B15" s="47" t="s">
        <v>39</v>
      </c>
      <c r="C15" s="10" t="s">
        <v>262</v>
      </c>
      <c r="D15" s="14">
        <v>600</v>
      </c>
      <c r="E15" s="10"/>
      <c r="F15" s="14"/>
      <c r="G15" s="10"/>
      <c r="H15" s="14"/>
      <c r="I15" s="10"/>
      <c r="J15" s="14"/>
      <c r="K15" s="10"/>
      <c r="L15" s="14"/>
      <c r="M15" s="10"/>
      <c r="N15" s="14"/>
      <c r="O15" s="10"/>
      <c r="P15" s="14"/>
      <c r="Q15" s="10"/>
      <c r="R15" s="14"/>
      <c r="S15" s="10"/>
      <c r="T15" s="14"/>
      <c r="U15" s="10"/>
      <c r="V15" s="14"/>
      <c r="W15" s="10"/>
      <c r="X15" s="14"/>
      <c r="Y15" s="10"/>
      <c r="Z15" s="14"/>
      <c r="AA15" s="10"/>
      <c r="AB15" s="14"/>
      <c r="AC15" s="10"/>
      <c r="AD15" s="14"/>
      <c r="AE15" s="10" t="s">
        <v>263</v>
      </c>
      <c r="AF15" s="14">
        <f>55+38+41</f>
        <v>134</v>
      </c>
      <c r="AG15" s="10"/>
      <c r="AH15" s="14"/>
      <c r="AI15" s="10"/>
      <c r="AJ15" s="14"/>
      <c r="AK15" s="10" t="s">
        <v>264</v>
      </c>
      <c r="AL15" s="14">
        <v>27</v>
      </c>
      <c r="AM15" s="10" t="s">
        <v>265</v>
      </c>
      <c r="AN15" s="14">
        <v>11</v>
      </c>
      <c r="AO15" s="10"/>
      <c r="AP15" s="14"/>
      <c r="AQ15" s="10"/>
      <c r="AR15" s="14"/>
      <c r="AS15" s="10"/>
      <c r="AT15" s="14"/>
      <c r="AU15" s="10"/>
      <c r="AV15" s="14"/>
      <c r="AW15" s="10"/>
      <c r="AX15" s="14"/>
      <c r="AY15" s="10" t="s">
        <v>266</v>
      </c>
      <c r="AZ15" s="14">
        <v>90</v>
      </c>
      <c r="BA15" s="10"/>
      <c r="BB15" s="14"/>
      <c r="BC15" s="10"/>
      <c r="BD15" s="14"/>
      <c r="BE15" s="10"/>
      <c r="BF15" s="14"/>
      <c r="BG15" s="10"/>
      <c r="BH15" s="14"/>
      <c r="BI15" s="14"/>
      <c r="BJ15" s="14"/>
      <c r="BK15" s="10"/>
      <c r="BL15" s="14">
        <v>4</v>
      </c>
      <c r="BM15" s="7">
        <f t="shared" si="0"/>
        <v>866</v>
      </c>
      <c r="BN15" s="47" t="s">
        <v>39</v>
      </c>
    </row>
    <row r="16" s="31" customFormat="1" spans="1:66">
      <c r="A16" s="14" t="s">
        <v>42</v>
      </c>
      <c r="B16" s="47" t="s">
        <v>43</v>
      </c>
      <c r="C16" s="10"/>
      <c r="D16" s="14"/>
      <c r="E16" s="10"/>
      <c r="F16" s="14"/>
      <c r="G16" s="10"/>
      <c r="H16" s="14"/>
      <c r="I16" s="10"/>
      <c r="J16" s="14"/>
      <c r="K16" s="10"/>
      <c r="L16" s="14"/>
      <c r="M16" s="10"/>
      <c r="N16" s="14"/>
      <c r="O16" s="10"/>
      <c r="P16" s="14"/>
      <c r="Q16" s="10"/>
      <c r="R16" s="14"/>
      <c r="S16" s="10"/>
      <c r="T16" s="14"/>
      <c r="U16" s="10"/>
      <c r="V16" s="14"/>
      <c r="W16" s="10"/>
      <c r="X16" s="14"/>
      <c r="Y16" s="10"/>
      <c r="Z16" s="14"/>
      <c r="AA16" s="10"/>
      <c r="AB16" s="14"/>
      <c r="AC16" s="10"/>
      <c r="AD16" s="14"/>
      <c r="AE16" s="10"/>
      <c r="AF16" s="14"/>
      <c r="AG16" s="10"/>
      <c r="AH16" s="14"/>
      <c r="AI16" s="10"/>
      <c r="AJ16" s="14"/>
      <c r="AK16" s="10" t="s">
        <v>267</v>
      </c>
      <c r="AL16" s="14">
        <v>40</v>
      </c>
      <c r="AM16" s="10" t="s">
        <v>268</v>
      </c>
      <c r="AN16" s="14">
        <v>2620</v>
      </c>
      <c r="AO16" s="10"/>
      <c r="AP16" s="14"/>
      <c r="AQ16" s="10"/>
      <c r="AR16" s="14"/>
      <c r="AS16" s="10" t="s">
        <v>83</v>
      </c>
      <c r="AT16" s="14">
        <v>28</v>
      </c>
      <c r="AU16" s="10" t="s">
        <v>83</v>
      </c>
      <c r="AV16" s="14">
        <v>54</v>
      </c>
      <c r="AW16" s="10" t="s">
        <v>83</v>
      </c>
      <c r="AX16" s="14">
        <v>40</v>
      </c>
      <c r="AY16" s="10" t="s">
        <v>269</v>
      </c>
      <c r="AZ16" s="14">
        <v>15</v>
      </c>
      <c r="BA16" s="10"/>
      <c r="BB16" s="14"/>
      <c r="BC16" s="10"/>
      <c r="BD16" s="14"/>
      <c r="BE16" s="10"/>
      <c r="BF16" s="14"/>
      <c r="BG16" s="10"/>
      <c r="BH16" s="14"/>
      <c r="BI16" s="14" t="s">
        <v>270</v>
      </c>
      <c r="BJ16" s="14">
        <v>20</v>
      </c>
      <c r="BK16" s="10"/>
      <c r="BL16" s="14"/>
      <c r="BM16" s="7">
        <f t="shared" si="0"/>
        <v>2817</v>
      </c>
      <c r="BN16" s="47" t="s">
        <v>43</v>
      </c>
    </row>
    <row r="17" s="31" customFormat="1" spans="1:66">
      <c r="A17" s="51" t="s">
        <v>45</v>
      </c>
      <c r="B17" s="14" t="s">
        <v>46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7">
        <f t="shared" si="0"/>
        <v>0</v>
      </c>
      <c r="BN17" s="14" t="s">
        <v>46</v>
      </c>
    </row>
    <row r="18" s="31" customFormat="1" spans="2:66">
      <c r="B18" s="17" t="s">
        <v>47</v>
      </c>
      <c r="C18" s="14">
        <f>SUM(C3:D16)</f>
        <v>1162</v>
      </c>
      <c r="D18" s="48"/>
      <c r="E18" s="14">
        <f>SUM(E3:F16)</f>
        <v>189.46</v>
      </c>
      <c r="F18" s="48"/>
      <c r="G18" s="14">
        <f>SUM(G3:H16)</f>
        <v>326</v>
      </c>
      <c r="H18" s="48"/>
      <c r="I18" s="14">
        <f>SUM(I3:J16)</f>
        <v>33.5</v>
      </c>
      <c r="J18" s="48"/>
      <c r="K18" s="14">
        <f>SUM(K3:L16)</f>
        <v>235.4</v>
      </c>
      <c r="L18" s="48"/>
      <c r="M18" s="14">
        <f>SUM(M3:N16)</f>
        <v>88.87</v>
      </c>
      <c r="N18" s="48"/>
      <c r="O18" s="14">
        <f>SUM(O3:P16)</f>
        <v>49</v>
      </c>
      <c r="P18" s="48"/>
      <c r="Q18" s="14">
        <f>SUM(Q3:R16)</f>
        <v>31.5</v>
      </c>
      <c r="R18" s="48"/>
      <c r="S18" s="14">
        <f>SUM(S3:T16)</f>
        <v>382.58</v>
      </c>
      <c r="T18" s="48"/>
      <c r="U18" s="14">
        <f>SUM(U3:V16)</f>
        <v>72.5</v>
      </c>
      <c r="V18" s="48"/>
      <c r="W18" s="14">
        <f>SUM(W3:X16)</f>
        <v>26</v>
      </c>
      <c r="X18" s="48"/>
      <c r="Y18" s="14">
        <f>SUM(Y3:Z16)</f>
        <v>200</v>
      </c>
      <c r="Z18" s="48"/>
      <c r="AA18" s="14">
        <f>SUM(AA3:AB16)</f>
        <v>32.5</v>
      </c>
      <c r="AB18" s="48"/>
      <c r="AC18" s="14">
        <f>SUM(AC3:AD16)</f>
        <v>36.5</v>
      </c>
      <c r="AD18" s="48"/>
      <c r="AE18" s="14">
        <f>SUM(AE3:AF16)</f>
        <v>271.8</v>
      </c>
      <c r="AF18" s="48"/>
      <c r="AG18" s="14">
        <f>SUM(AG3:AH16)</f>
        <v>30.5</v>
      </c>
      <c r="AH18" s="48"/>
      <c r="AI18" s="14">
        <f>SUM(AI3:AJ16)</f>
        <v>11.5</v>
      </c>
      <c r="AJ18" s="48"/>
      <c r="AK18" s="14">
        <f>SUM(AK3:AL16)</f>
        <v>192</v>
      </c>
      <c r="AL18" s="48"/>
      <c r="AM18" s="14">
        <f>SUM(AM3:AN16)</f>
        <v>2681</v>
      </c>
      <c r="AN18" s="48"/>
      <c r="AO18" s="14">
        <f>SUM(AO3:AP16)</f>
        <v>112.69</v>
      </c>
      <c r="AP18" s="48"/>
      <c r="AQ18" s="14">
        <f>SUM(AQ3:AR16)</f>
        <v>59.6</v>
      </c>
      <c r="AR18" s="48"/>
      <c r="AS18" s="14">
        <f>SUM(AS3:AT16)</f>
        <v>60.5</v>
      </c>
      <c r="AT18" s="48"/>
      <c r="AU18" s="14">
        <f>SUM(AU3:AV16)</f>
        <v>299.8</v>
      </c>
      <c r="AV18" s="48"/>
      <c r="AW18" s="14">
        <f>SUM(AW3:AX16)</f>
        <v>174.6</v>
      </c>
      <c r="AX18" s="48"/>
      <c r="AY18" s="14">
        <f>SUM(AY3:AZ16)</f>
        <v>129</v>
      </c>
      <c r="AZ18" s="48"/>
      <c r="BA18" s="14">
        <f>SUM(BA3:BB16)</f>
        <v>22.5</v>
      </c>
      <c r="BB18" s="48"/>
      <c r="BC18" s="14">
        <f>SUM(BC3:BD16)</f>
        <v>32</v>
      </c>
      <c r="BD18" s="48"/>
      <c r="BE18" s="14">
        <f>SUM(BE3:BF16)</f>
        <v>146.5</v>
      </c>
      <c r="BF18" s="48"/>
      <c r="BG18" s="14">
        <f>SUM(BG3:BH16)</f>
        <v>126</v>
      </c>
      <c r="BH18" s="48"/>
      <c r="BI18" s="14">
        <f>SUM(BI3:BJ16)</f>
        <v>69</v>
      </c>
      <c r="BJ18" s="48"/>
      <c r="BK18" s="14">
        <f>SUM(BK3:BL16)</f>
        <v>24</v>
      </c>
      <c r="BL18" s="48"/>
      <c r="BM18" s="23">
        <f t="shared" si="0"/>
        <v>7308.8</v>
      </c>
      <c r="BN18" s="17" t="s">
        <v>47</v>
      </c>
    </row>
    <row r="19" s="32" customFormat="1" spans="1:66">
      <c r="A19" s="10" t="s">
        <v>48</v>
      </c>
      <c r="B19" s="18" t="s">
        <v>49</v>
      </c>
      <c r="C19" s="49"/>
      <c r="D19" s="50"/>
      <c r="E19" s="49"/>
      <c r="F19" s="50"/>
      <c r="G19" s="49"/>
      <c r="H19" s="50"/>
      <c r="I19" s="49"/>
      <c r="J19" s="50"/>
      <c r="K19" s="49" t="s">
        <v>50</v>
      </c>
      <c r="L19" s="50">
        <v>130</v>
      </c>
      <c r="M19" s="49"/>
      <c r="N19" s="50"/>
      <c r="O19" s="49"/>
      <c r="P19" s="50"/>
      <c r="Q19" s="49" t="s">
        <v>50</v>
      </c>
      <c r="R19" s="50">
        <v>130</v>
      </c>
      <c r="S19" s="49"/>
      <c r="T19" s="50"/>
      <c r="U19" s="49"/>
      <c r="V19" s="50"/>
      <c r="W19" s="49"/>
      <c r="X19" s="50"/>
      <c r="Y19" s="49"/>
      <c r="Z19" s="50"/>
      <c r="AC19" s="49"/>
      <c r="AD19" s="50"/>
      <c r="AE19" s="49"/>
      <c r="AF19" s="50"/>
      <c r="AG19" s="49"/>
      <c r="AH19" s="50"/>
      <c r="AI19" s="49" t="s">
        <v>50</v>
      </c>
      <c r="AJ19" s="50">
        <v>430</v>
      </c>
      <c r="AK19" s="49"/>
      <c r="AL19" s="50"/>
      <c r="AM19" s="49"/>
      <c r="AN19" s="50"/>
      <c r="AO19" s="49"/>
      <c r="AP19" s="50"/>
      <c r="AQ19" s="49"/>
      <c r="AR19" s="50"/>
      <c r="AS19" s="49"/>
      <c r="AT19" s="50"/>
      <c r="AU19" s="49"/>
      <c r="AV19" s="50"/>
      <c r="AW19" s="49" t="s">
        <v>50</v>
      </c>
      <c r="AX19" s="50">
        <v>430</v>
      </c>
      <c r="AY19" s="49"/>
      <c r="AZ19" s="50"/>
      <c r="BA19" s="49"/>
      <c r="BB19" s="50"/>
      <c r="BC19" s="49"/>
      <c r="BD19" s="50"/>
      <c r="BE19" s="49"/>
      <c r="BF19" s="50"/>
      <c r="BG19" s="49"/>
      <c r="BH19" s="50"/>
      <c r="BI19" s="50"/>
      <c r="BJ19" s="50"/>
      <c r="BK19" s="49" t="s">
        <v>50</v>
      </c>
      <c r="BL19" s="50">
        <v>430</v>
      </c>
      <c r="BM19" s="7">
        <f t="shared" si="0"/>
        <v>1550</v>
      </c>
      <c r="BN19" s="18" t="s">
        <v>49</v>
      </c>
    </row>
    <row r="20" s="31" customFormat="1" spans="1:66">
      <c r="A20" s="51"/>
      <c r="B20" s="18" t="s">
        <v>51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 t="s">
        <v>271</v>
      </c>
      <c r="AB20" s="50">
        <v>800</v>
      </c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7">
        <f t="shared" si="0"/>
        <v>800</v>
      </c>
      <c r="BN20" s="18" t="s">
        <v>51</v>
      </c>
    </row>
    <row r="21" s="31" customFormat="1" spans="1:66">
      <c r="A21" s="51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/>
      <c r="AP21"/>
      <c r="AQ2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73"/>
      <c r="BE21" s="73"/>
      <c r="BF21" s="73"/>
      <c r="BG21" s="73"/>
      <c r="BH21" s="73"/>
      <c r="BI21" s="73"/>
      <c r="BJ21" s="73"/>
      <c r="BK21" s="73"/>
      <c r="BL21" s="73"/>
      <c r="BM21" s="73"/>
      <c r="BN21"/>
    </row>
    <row r="22" s="31" customFormat="1" spans="1:66">
      <c r="A22" s="51"/>
      <c r="B22" s="10" t="s">
        <v>239</v>
      </c>
      <c r="C22" s="20" t="s">
        <v>98</v>
      </c>
      <c r="D22" s="32"/>
      <c r="E22" s="32"/>
      <c r="F22" s="32"/>
      <c r="G22" s="32"/>
      <c r="H22" s="32"/>
      <c r="I22" s="32"/>
      <c r="J22"/>
      <c r="K22"/>
      <c r="L22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/>
    </row>
    <row r="23" s="31" customFormat="1" spans="1:66">
      <c r="A23" s="51"/>
      <c r="B23" s="54" t="s">
        <v>60</v>
      </c>
      <c r="C23" s="20">
        <v>2200</v>
      </c>
      <c r="D23" s="55"/>
      <c r="E23" s="32"/>
      <c r="F23" s="32"/>
      <c r="G23" s="32"/>
      <c r="H23" s="32"/>
      <c r="I23" s="32"/>
      <c r="J23"/>
      <c r="K23"/>
      <c r="L2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/>
    </row>
    <row r="24" s="31" customFormat="1" spans="1:66">
      <c r="A24" s="51"/>
      <c r="B24" s="53"/>
      <c r="C24" s="53"/>
      <c r="D24" s="32"/>
      <c r="E24" s="32"/>
      <c r="F24" s="32"/>
      <c r="G24" s="32"/>
      <c r="H24" s="32"/>
      <c r="I24" s="32"/>
      <c r="J24"/>
      <c r="K24"/>
      <c r="L24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/>
    </row>
    <row r="25" s="31" customFormat="1" spans="1:66">
      <c r="A25" s="51"/>
      <c r="B25" s="53"/>
      <c r="C25" s="53"/>
      <c r="D25" s="32"/>
      <c r="E25" s="32"/>
      <c r="F25" s="32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/>
    </row>
    <row r="26" s="31" customFormat="1" spans="1:66">
      <c r="A26" s="51"/>
      <c r="B26" s="53"/>
      <c r="C26" s="53"/>
      <c r="D26" s="51"/>
      <c r="E26" s="51"/>
      <c r="F26" s="51"/>
      <c r="G26" s="51"/>
      <c r="H26" s="51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/>
    </row>
    <row r="27" s="31" customFormat="1" spans="1:66">
      <c r="A27" s="51"/>
      <c r="B27" s="53"/>
      <c r="C27" s="53"/>
      <c r="D27" s="51"/>
      <c r="E27" s="51"/>
      <c r="F27" s="51"/>
      <c r="G27" s="51"/>
      <c r="H27" s="51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/>
    </row>
    <row r="28" s="31" customFormat="1" spans="1:66">
      <c r="A28" s="51"/>
      <c r="B28" s="51"/>
      <c r="C28" s="51"/>
      <c r="D28" s="51"/>
      <c r="E28" s="51"/>
      <c r="F28" s="51"/>
      <c r="G28" s="51"/>
      <c r="H28" s="51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/>
    </row>
    <row r="29" s="31" customFormat="1" spans="1:66">
      <c r="A29" s="51"/>
      <c r="D29" s="51"/>
      <c r="E29" s="51"/>
      <c r="F29" s="51"/>
      <c r="G29" s="51"/>
      <c r="H29" s="51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3"/>
    </row>
    <row r="30" s="31" customFormat="1" spans="1:66">
      <c r="A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3"/>
    </row>
    <row r="31" s="31" customFormat="1" spans="1:66">
      <c r="A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3"/>
    </row>
    <row r="32" s="31" customFormat="1" spans="1:66">
      <c r="A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3"/>
    </row>
    <row r="33" s="31" customFormat="1" spans="1:66">
      <c r="A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</row>
    <row r="34" s="31" customFormat="1" spans="1:65">
      <c r="A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</row>
  </sheetData>
  <sheetProtection formatCells="0" insertHyperlinks="0" autoFilter="0"/>
  <mergeCells count="69">
    <mergeCell ref="C1:F1"/>
    <mergeCell ref="BA1:BB1"/>
    <mergeCell ref="BE1:BF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N18"/>
    <mergeCell ref="AO18:AP18"/>
    <mergeCell ref="AQ18:AR18"/>
    <mergeCell ref="AS18:AT18"/>
    <mergeCell ref="AU18:AV18"/>
    <mergeCell ref="AW18:AX18"/>
    <mergeCell ref="AY18:AZ18"/>
    <mergeCell ref="BA18:BB18"/>
    <mergeCell ref="BC18:BD18"/>
    <mergeCell ref="BE18:BF18"/>
    <mergeCell ref="BG18:BH18"/>
    <mergeCell ref="BI18:BJ18"/>
    <mergeCell ref="BK18:BL18"/>
    <mergeCell ref="A3:A6"/>
    <mergeCell ref="A7:A12"/>
    <mergeCell ref="BF3:BF6"/>
    <mergeCell ref="BM3:BM6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L34"/>
  <sheetViews>
    <sheetView zoomScale="87" zoomScaleNormal="87" topLeftCell="AR1" workbookViewId="0">
      <pane xSplit="25021" topLeftCell="AP1" activePane="topLeft"/>
      <selection activeCell="BI17" sqref="BI17"/>
      <selection pane="topRight"/>
    </sheetView>
  </sheetViews>
  <sheetFormatPr defaultColWidth="9.81730769230769" defaultRowHeight="16.8"/>
  <cols>
    <col min="1" max="1" width="6" style="31" customWidth="1"/>
    <col min="2" max="2" width="17.6153846153846" style="31" customWidth="1"/>
    <col min="3" max="3" width="8.15384615384615" style="31" customWidth="1"/>
    <col min="4" max="4" width="8.69230769230769" style="31" customWidth="1"/>
    <col min="5" max="5" width="6.00961538461539" style="31" customWidth="1"/>
    <col min="6" max="6" width="6.69230769230769" style="31" customWidth="1"/>
    <col min="7" max="7" width="11" style="31" customWidth="1"/>
    <col min="8" max="8" width="8.69230769230769" style="31" customWidth="1"/>
    <col min="9" max="9" width="12.7692307692308" style="31" customWidth="1"/>
    <col min="10" max="10" width="6.69230769230769" style="31" customWidth="1"/>
    <col min="11" max="11" width="6.00961538461539" style="31" customWidth="1"/>
    <col min="12" max="12" width="6.69230769230769" style="31" customWidth="1"/>
    <col min="13" max="13" width="8.15384615384615" style="31" customWidth="1"/>
    <col min="14" max="14" width="6.69230769230769" style="31" customWidth="1"/>
    <col min="15" max="15" width="6" style="31" customWidth="1"/>
    <col min="16" max="16" width="7.69230769230769" style="31" customWidth="1"/>
    <col min="17" max="17" width="8.15384615384615" style="31" customWidth="1"/>
    <col min="18" max="18" width="7.69230769230769" style="31" customWidth="1"/>
    <col min="19" max="19" width="6.00961538461539" style="31" customWidth="1"/>
    <col min="20" max="20" width="6.69230769230769" style="31" customWidth="1"/>
    <col min="21" max="21" width="6.00961538461539" style="31" customWidth="1"/>
    <col min="22" max="22" width="6.69230769230769" style="31" customWidth="1"/>
    <col min="23" max="23" width="6.00961538461539" style="31" customWidth="1"/>
    <col min="24" max="24" width="6.69230769230769" style="31" customWidth="1"/>
    <col min="25" max="25" width="3.84615384615385" style="31" customWidth="1"/>
    <col min="26" max="26" width="6.69230769230769" style="31" customWidth="1"/>
    <col min="27" max="27" width="6" style="31" customWidth="1"/>
    <col min="28" max="28" width="7.69230769230769" style="31" customWidth="1"/>
    <col min="29" max="29" width="6" style="31" customWidth="1"/>
    <col min="30" max="30" width="7.69230769230769" style="31" customWidth="1"/>
    <col min="31" max="31" width="6.00961538461539" style="31" customWidth="1"/>
    <col min="32" max="32" width="6.69230769230769" style="31" customWidth="1"/>
    <col min="33" max="33" width="6.00961538461539" style="31" customWidth="1"/>
    <col min="34" max="34" width="6.69230769230769" style="31" customWidth="1"/>
    <col min="35" max="35" width="6.00961538461539" style="31" customWidth="1"/>
    <col min="36" max="36" width="6.69230769230769" style="31" customWidth="1"/>
    <col min="37" max="37" width="6" style="31" customWidth="1"/>
    <col min="38" max="38" width="6.69230769230769" style="31" customWidth="1"/>
    <col min="39" max="39" width="6" style="31" customWidth="1"/>
    <col min="40" max="40" width="7.69230769230769" style="31" customWidth="1"/>
    <col min="41" max="41" width="6.00961538461539" style="31" customWidth="1"/>
    <col min="42" max="42" width="6.69230769230769" style="31" customWidth="1"/>
    <col min="43" max="43" width="6" style="31" customWidth="1"/>
    <col min="44" max="44" width="7.69230769230769" style="31" customWidth="1"/>
    <col min="45" max="45" width="6.00961538461539" style="31" customWidth="1"/>
    <col min="46" max="46" width="7.69230769230769" style="31" customWidth="1"/>
    <col min="47" max="47" width="8.15384615384615" style="31" customWidth="1"/>
    <col min="48" max="48" width="6.69230769230769" style="31" customWidth="1"/>
    <col min="49" max="49" width="10.3076923076923" style="31" customWidth="1"/>
    <col min="50" max="50" width="8.69230769230769" style="31" customWidth="1"/>
    <col min="51" max="51" width="6.00961538461539" style="31" customWidth="1"/>
    <col min="52" max="52" width="6.69230769230769" style="31" customWidth="1"/>
    <col min="53" max="53" width="6.00961538461539" style="31" customWidth="1"/>
    <col min="54" max="54" width="6.69230769230769" style="31" customWidth="1"/>
    <col min="55" max="56" width="6.00961538461539" style="31" customWidth="1"/>
    <col min="57" max="57" width="11.0769230769231" style="31" customWidth="1"/>
    <col min="58" max="58" width="7.69230769230769" style="31" customWidth="1"/>
    <col min="59" max="59" width="14.3846153846154" style="31" customWidth="1"/>
    <col min="60" max="60" width="6.69230769230769" style="31" customWidth="1"/>
    <col min="61" max="61" width="6.00961538461539" style="31" customWidth="1"/>
    <col min="62" max="62" width="6.69230769230769" style="31" customWidth="1"/>
    <col min="63" max="63" width="9.15384615384615" style="31" customWidth="1"/>
    <col min="64" max="64" width="10.3076923076923" style="31" customWidth="1"/>
    <col min="65" max="14411" width="6.00961538461539" style="31" customWidth="1"/>
    <col min="14412" max="16384" width="6.00961538461539" customWidth="1"/>
  </cols>
  <sheetData>
    <row r="1" s="31" customFormat="1" spans="3:58">
      <c r="C1" s="33"/>
      <c r="D1" s="33"/>
      <c r="E1" s="33"/>
      <c r="F1" s="33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61"/>
      <c r="BA1" s="71"/>
      <c r="BB1" s="71"/>
      <c r="BE1" s="74"/>
      <c r="BF1" s="74"/>
    </row>
    <row r="2" s="31" customFormat="1" spans="1:64">
      <c r="A2" s="1"/>
      <c r="B2" s="34" t="s">
        <v>1</v>
      </c>
      <c r="C2" s="35">
        <v>44136</v>
      </c>
      <c r="D2" s="36"/>
      <c r="E2" s="35">
        <v>44137</v>
      </c>
      <c r="F2" s="36"/>
      <c r="G2" s="35">
        <v>44138</v>
      </c>
      <c r="H2" s="36"/>
      <c r="I2" s="35">
        <v>44139</v>
      </c>
      <c r="J2" s="36"/>
      <c r="K2" s="35">
        <v>44140</v>
      </c>
      <c r="L2" s="36"/>
      <c r="M2" s="35">
        <v>44141</v>
      </c>
      <c r="N2" s="36"/>
      <c r="O2" s="35">
        <v>44142</v>
      </c>
      <c r="P2" s="36"/>
      <c r="Q2" s="35">
        <v>44143</v>
      </c>
      <c r="R2" s="36"/>
      <c r="S2" s="35">
        <v>44144</v>
      </c>
      <c r="T2" s="36"/>
      <c r="U2" s="35">
        <v>44145</v>
      </c>
      <c r="V2" s="36"/>
      <c r="W2" s="35">
        <v>44146</v>
      </c>
      <c r="X2" s="36"/>
      <c r="Y2" s="35">
        <v>44147</v>
      </c>
      <c r="Z2" s="36"/>
      <c r="AA2" s="35">
        <v>44148</v>
      </c>
      <c r="AB2" s="36"/>
      <c r="AC2" s="35">
        <v>44149</v>
      </c>
      <c r="AD2" s="36"/>
      <c r="AE2" s="35">
        <v>44150</v>
      </c>
      <c r="AF2" s="36"/>
      <c r="AG2" s="35">
        <v>44151</v>
      </c>
      <c r="AH2" s="36"/>
      <c r="AI2" s="35">
        <v>44152</v>
      </c>
      <c r="AJ2" s="36"/>
      <c r="AK2" s="35">
        <v>44153</v>
      </c>
      <c r="AL2" s="36"/>
      <c r="AM2" s="35">
        <v>44154</v>
      </c>
      <c r="AN2" s="36"/>
      <c r="AO2" s="35">
        <v>44155</v>
      </c>
      <c r="AP2" s="36"/>
      <c r="AQ2" s="35">
        <v>44156</v>
      </c>
      <c r="AR2" s="36"/>
      <c r="AS2" s="35">
        <v>44157</v>
      </c>
      <c r="AT2" s="36"/>
      <c r="AU2" s="35">
        <v>44158</v>
      </c>
      <c r="AV2" s="36"/>
      <c r="AW2" s="35">
        <v>44159</v>
      </c>
      <c r="AX2" s="36"/>
      <c r="AY2" s="35">
        <v>44160</v>
      </c>
      <c r="AZ2" s="36"/>
      <c r="BA2" s="35">
        <v>44161</v>
      </c>
      <c r="BB2" s="36"/>
      <c r="BC2" s="35">
        <v>44162</v>
      </c>
      <c r="BD2" s="36"/>
      <c r="BE2" s="80">
        <v>44163</v>
      </c>
      <c r="BF2" s="81"/>
      <c r="BG2" s="35">
        <v>44164</v>
      </c>
      <c r="BH2" s="36"/>
      <c r="BI2" s="35">
        <v>44165</v>
      </c>
      <c r="BJ2" s="36"/>
      <c r="BK2" s="78" t="s">
        <v>3</v>
      </c>
      <c r="BL2" s="2" t="s">
        <v>1</v>
      </c>
    </row>
    <row r="3" s="31" customFormat="1" spans="1:64">
      <c r="A3" s="9" t="s">
        <v>4</v>
      </c>
      <c r="B3" s="37" t="s">
        <v>5</v>
      </c>
      <c r="C3" s="38"/>
      <c r="D3" s="39"/>
      <c r="E3" s="57"/>
      <c r="F3" s="58">
        <v>6.5</v>
      </c>
      <c r="G3" s="40"/>
      <c r="H3" s="39"/>
      <c r="I3" s="38"/>
      <c r="J3" s="39">
        <v>12</v>
      </c>
      <c r="K3" s="38"/>
      <c r="L3" s="39"/>
      <c r="M3" s="38"/>
      <c r="N3" s="39">
        <v>10</v>
      </c>
      <c r="O3" s="38"/>
      <c r="P3" s="39">
        <v>5</v>
      </c>
      <c r="Q3" s="38"/>
      <c r="R3" s="39"/>
      <c r="S3" s="38"/>
      <c r="T3" s="39"/>
      <c r="U3" s="51"/>
      <c r="V3" s="63"/>
      <c r="W3" s="9"/>
      <c r="X3" s="63"/>
      <c r="Y3" s="9"/>
      <c r="Z3" s="51"/>
      <c r="AA3" s="9"/>
      <c r="AB3" s="51">
        <v>10</v>
      </c>
      <c r="AC3" s="9"/>
      <c r="AD3" s="51"/>
      <c r="AE3" s="9"/>
      <c r="AF3" s="51">
        <v>6</v>
      </c>
      <c r="AG3" s="9"/>
      <c r="AH3" s="51"/>
      <c r="AI3" s="9"/>
      <c r="AJ3" s="51">
        <v>10</v>
      </c>
      <c r="AK3" s="9"/>
      <c r="AL3" s="51">
        <v>5</v>
      </c>
      <c r="AM3" s="9"/>
      <c r="AN3" s="51">
        <v>10</v>
      </c>
      <c r="AO3" s="9"/>
      <c r="AP3" s="51"/>
      <c r="AQ3" s="9"/>
      <c r="AR3" s="51">
        <v>5</v>
      </c>
      <c r="AS3" s="9"/>
      <c r="AT3" s="51">
        <v>6</v>
      </c>
      <c r="AU3" s="9"/>
      <c r="AV3" s="63">
        <v>8</v>
      </c>
      <c r="AW3" s="51"/>
      <c r="AX3" s="63"/>
      <c r="AY3" s="9"/>
      <c r="AZ3" s="63">
        <v>5</v>
      </c>
      <c r="BA3" s="9"/>
      <c r="BB3" s="63">
        <v>15</v>
      </c>
      <c r="BC3" s="9"/>
      <c r="BD3" s="63"/>
      <c r="BE3" s="9"/>
      <c r="BF3" s="75"/>
      <c r="BG3" s="9"/>
      <c r="BH3" s="63"/>
      <c r="BI3" s="51"/>
      <c r="BJ3" s="51">
        <v>25.6</v>
      </c>
      <c r="BK3" s="12">
        <f>SUM(C3:BJ6)</f>
        <v>1436.17</v>
      </c>
      <c r="BL3" s="5" t="s">
        <v>5</v>
      </c>
    </row>
    <row r="4" s="31" customFormat="1" spans="1:64">
      <c r="A4" s="9"/>
      <c r="B4" s="37" t="s">
        <v>6</v>
      </c>
      <c r="C4" s="38"/>
      <c r="D4" s="39"/>
      <c r="E4" s="40"/>
      <c r="F4" s="39">
        <v>11.5</v>
      </c>
      <c r="G4" s="40"/>
      <c r="H4" s="39">
        <v>11</v>
      </c>
      <c r="I4" s="38"/>
      <c r="J4" s="39">
        <v>11.5</v>
      </c>
      <c r="K4" s="38"/>
      <c r="L4" s="39">
        <v>12</v>
      </c>
      <c r="M4" s="38"/>
      <c r="N4" s="39">
        <v>11.5</v>
      </c>
      <c r="O4" s="38"/>
      <c r="P4" s="39"/>
      <c r="Q4" s="38"/>
      <c r="R4" s="39">
        <v>13</v>
      </c>
      <c r="S4" s="38"/>
      <c r="T4" s="39">
        <v>8</v>
      </c>
      <c r="U4" s="51"/>
      <c r="V4" s="39">
        <v>11</v>
      </c>
      <c r="W4" s="9"/>
      <c r="X4" s="63">
        <v>9</v>
      </c>
      <c r="Y4" s="9"/>
      <c r="Z4" s="51">
        <v>16</v>
      </c>
      <c r="AA4" s="9"/>
      <c r="AB4" s="51">
        <v>29</v>
      </c>
      <c r="AC4" s="9"/>
      <c r="AD4" s="51">
        <v>22</v>
      </c>
      <c r="AE4" s="9"/>
      <c r="AF4" s="51">
        <v>70</v>
      </c>
      <c r="AG4" s="9"/>
      <c r="AH4" s="51">
        <v>16.5</v>
      </c>
      <c r="AI4" s="9"/>
      <c r="AJ4" s="51">
        <v>12</v>
      </c>
      <c r="AK4" s="9"/>
      <c r="AL4" s="51">
        <v>12</v>
      </c>
      <c r="AM4" s="9"/>
      <c r="AN4" s="51">
        <v>12</v>
      </c>
      <c r="AO4" s="9"/>
      <c r="AP4" s="51">
        <v>12</v>
      </c>
      <c r="AQ4" s="9"/>
      <c r="AR4" s="51"/>
      <c r="AS4" s="9"/>
      <c r="AT4" s="51"/>
      <c r="AU4" s="9"/>
      <c r="AV4" s="63"/>
      <c r="AW4" s="51"/>
      <c r="AX4" s="63"/>
      <c r="AY4" s="9"/>
      <c r="AZ4" s="63">
        <v>12</v>
      </c>
      <c r="BA4" s="9"/>
      <c r="BB4" s="63"/>
      <c r="BC4" s="9"/>
      <c r="BD4" s="63"/>
      <c r="BE4" s="9"/>
      <c r="BF4" s="75"/>
      <c r="BG4" s="9"/>
      <c r="BH4" s="63">
        <v>11</v>
      </c>
      <c r="BI4" s="51"/>
      <c r="BJ4" s="51"/>
      <c r="BK4" s="12"/>
      <c r="BL4" s="5" t="s">
        <v>6</v>
      </c>
    </row>
    <row r="5" s="31" customFormat="1" spans="1:64">
      <c r="A5" s="9"/>
      <c r="B5" s="37" t="s">
        <v>7</v>
      </c>
      <c r="C5" s="38"/>
      <c r="D5" s="40">
        <v>12</v>
      </c>
      <c r="E5" s="38"/>
      <c r="F5" s="40">
        <v>52</v>
      </c>
      <c r="G5" s="38"/>
      <c r="H5" s="40">
        <v>17</v>
      </c>
      <c r="I5" s="38"/>
      <c r="J5" s="39"/>
      <c r="K5" s="38"/>
      <c r="L5" s="39">
        <v>11.5</v>
      </c>
      <c r="M5" s="38"/>
      <c r="N5" s="39">
        <v>11</v>
      </c>
      <c r="O5" s="38"/>
      <c r="P5" s="39"/>
      <c r="Q5" s="38"/>
      <c r="R5" s="39">
        <v>130</v>
      </c>
      <c r="S5" s="38"/>
      <c r="T5" s="39">
        <v>18</v>
      </c>
      <c r="U5" s="51"/>
      <c r="V5" s="39">
        <v>17</v>
      </c>
      <c r="W5" s="9"/>
      <c r="X5" s="63">
        <v>22</v>
      </c>
      <c r="Y5" s="9"/>
      <c r="Z5" s="51"/>
      <c r="AA5" s="9"/>
      <c r="AB5" s="51">
        <v>100</v>
      </c>
      <c r="AC5" s="9"/>
      <c r="AD5" s="51"/>
      <c r="AE5" s="9"/>
      <c r="AF5" s="51">
        <v>21</v>
      </c>
      <c r="AG5" s="9"/>
      <c r="AH5" s="51">
        <v>70</v>
      </c>
      <c r="AI5" s="9"/>
      <c r="AJ5" s="51">
        <v>13.5</v>
      </c>
      <c r="AK5" s="9"/>
      <c r="AL5" s="51">
        <v>12</v>
      </c>
      <c r="AM5" s="9"/>
      <c r="AN5" s="51">
        <v>35</v>
      </c>
      <c r="AO5" s="9"/>
      <c r="AP5" s="51">
        <v>12</v>
      </c>
      <c r="AQ5" s="9"/>
      <c r="AR5" s="51">
        <v>18</v>
      </c>
      <c r="AS5" s="9"/>
      <c r="AT5" s="51">
        <v>140</v>
      </c>
      <c r="AU5" s="9"/>
      <c r="AV5" s="63"/>
      <c r="AW5" s="51"/>
      <c r="AX5" s="63"/>
      <c r="AY5" s="9"/>
      <c r="AZ5" s="63"/>
      <c r="BA5" s="9"/>
      <c r="BB5" s="63"/>
      <c r="BC5" s="9"/>
      <c r="BD5" s="63"/>
      <c r="BE5" s="9"/>
      <c r="BF5" s="75"/>
      <c r="BG5" s="9"/>
      <c r="BH5" s="63">
        <v>24.17</v>
      </c>
      <c r="BI5" s="51"/>
      <c r="BJ5" s="51">
        <v>13.9</v>
      </c>
      <c r="BK5" s="12"/>
      <c r="BL5" s="5" t="s">
        <v>7</v>
      </c>
    </row>
    <row r="6" s="31" customFormat="1" spans="1:64">
      <c r="A6" s="4"/>
      <c r="B6" s="41" t="s">
        <v>8</v>
      </c>
      <c r="C6" s="42" t="s">
        <v>272</v>
      </c>
      <c r="D6" s="43">
        <v>46</v>
      </c>
      <c r="E6" s="42"/>
      <c r="F6" s="43"/>
      <c r="G6" s="42"/>
      <c r="H6" s="43"/>
      <c r="I6" s="42"/>
      <c r="J6" s="60"/>
      <c r="K6" s="42"/>
      <c r="L6" s="60"/>
      <c r="M6" s="42"/>
      <c r="N6" s="60"/>
      <c r="O6" s="42"/>
      <c r="P6" s="60"/>
      <c r="Q6" s="42"/>
      <c r="R6" s="60"/>
      <c r="S6" s="42"/>
      <c r="T6" s="60"/>
      <c r="U6" s="64"/>
      <c r="V6" s="60"/>
      <c r="W6" s="4"/>
      <c r="X6" s="65"/>
      <c r="Y6" s="4"/>
      <c r="Z6" s="64"/>
      <c r="AA6" s="4"/>
      <c r="AB6" s="64"/>
      <c r="AC6" s="4" t="s">
        <v>248</v>
      </c>
      <c r="AD6" s="64">
        <v>68</v>
      </c>
      <c r="AE6" s="4"/>
      <c r="AF6" s="64">
        <v>40</v>
      </c>
      <c r="AG6" s="4"/>
      <c r="AH6" s="64">
        <v>30</v>
      </c>
      <c r="AI6" s="4"/>
      <c r="AJ6" s="64"/>
      <c r="AK6" s="4"/>
      <c r="AL6" s="64">
        <v>40</v>
      </c>
      <c r="AM6" s="4"/>
      <c r="AN6" s="64"/>
      <c r="AO6" s="4"/>
      <c r="AP6" s="64"/>
      <c r="AQ6" s="4"/>
      <c r="AR6" s="64"/>
      <c r="AS6" s="4"/>
      <c r="AT6" s="64"/>
      <c r="AU6" s="4"/>
      <c r="AV6" s="65"/>
      <c r="AW6" s="64"/>
      <c r="AX6" s="65"/>
      <c r="AY6" s="4"/>
      <c r="AZ6" s="65"/>
      <c r="BA6" s="4"/>
      <c r="BB6" s="65"/>
      <c r="BC6" s="4"/>
      <c r="BD6" s="65"/>
      <c r="BE6" s="4"/>
      <c r="BF6" s="76"/>
      <c r="BG6" s="4"/>
      <c r="BH6" s="65"/>
      <c r="BI6" s="64"/>
      <c r="BJ6" s="64"/>
      <c r="BK6" s="12"/>
      <c r="BL6" s="10" t="s">
        <v>8</v>
      </c>
    </row>
    <row r="7" s="31" customFormat="1" spans="1:64">
      <c r="A7" s="8" t="s">
        <v>10</v>
      </c>
      <c r="B7" s="44" t="s">
        <v>11</v>
      </c>
      <c r="C7" s="38"/>
      <c r="D7" s="39"/>
      <c r="E7" s="57"/>
      <c r="F7" s="57"/>
      <c r="G7" s="59"/>
      <c r="H7" s="58"/>
      <c r="I7" s="57"/>
      <c r="J7" s="58"/>
      <c r="K7" s="57"/>
      <c r="L7" s="58"/>
      <c r="M7" s="57"/>
      <c r="N7" s="39">
        <v>20</v>
      </c>
      <c r="O7" s="57"/>
      <c r="P7" s="58">
        <v>8</v>
      </c>
      <c r="Q7" s="57"/>
      <c r="R7" s="58"/>
      <c r="S7" s="57"/>
      <c r="T7" s="39"/>
      <c r="U7" s="66"/>
      <c r="V7" s="39">
        <v>6</v>
      </c>
      <c r="W7" s="8"/>
      <c r="X7" s="67"/>
      <c r="Y7" s="8"/>
      <c r="Z7" s="66"/>
      <c r="AA7" s="8"/>
      <c r="AB7" s="66"/>
      <c r="AC7" s="8"/>
      <c r="AD7" s="66"/>
      <c r="AE7" s="8"/>
      <c r="AF7" s="66">
        <v>50</v>
      </c>
      <c r="AG7" s="8"/>
      <c r="AH7" s="66">
        <v>21</v>
      </c>
      <c r="AI7" s="8"/>
      <c r="AJ7" s="66"/>
      <c r="AK7" s="8"/>
      <c r="AL7" s="66"/>
      <c r="AM7" s="8"/>
      <c r="AN7" s="66"/>
      <c r="AO7" s="8"/>
      <c r="AP7" s="66"/>
      <c r="AQ7" s="8"/>
      <c r="AR7" s="66">
        <v>40</v>
      </c>
      <c r="AS7" s="8"/>
      <c r="AT7" s="66"/>
      <c r="AU7" s="8"/>
      <c r="AV7" s="67"/>
      <c r="AW7" s="66"/>
      <c r="AX7" s="67"/>
      <c r="AY7" s="8"/>
      <c r="AZ7" s="67"/>
      <c r="BA7" s="8"/>
      <c r="BB7" s="67"/>
      <c r="BC7" s="8"/>
      <c r="BD7" s="67"/>
      <c r="BE7" s="8"/>
      <c r="BF7" s="67"/>
      <c r="BG7" s="8"/>
      <c r="BH7" s="67"/>
      <c r="BI7" s="66"/>
      <c r="BJ7" s="66"/>
      <c r="BK7" s="12">
        <f>SUM(C7:BJ7)</f>
        <v>145</v>
      </c>
      <c r="BL7" s="10" t="s">
        <v>11</v>
      </c>
    </row>
    <row r="8" s="31" customFormat="1" spans="1:64">
      <c r="A8" s="9"/>
      <c r="B8" s="44" t="s">
        <v>15</v>
      </c>
      <c r="C8" s="38"/>
      <c r="D8" s="39"/>
      <c r="E8" s="40"/>
      <c r="F8" s="40"/>
      <c r="G8" s="38"/>
      <c r="H8" s="39"/>
      <c r="I8" s="40"/>
      <c r="J8" s="39"/>
      <c r="K8" s="40"/>
      <c r="L8" s="39"/>
      <c r="M8" s="40"/>
      <c r="N8" s="39"/>
      <c r="O8" s="40"/>
      <c r="P8" s="39"/>
      <c r="Q8" s="40"/>
      <c r="R8" s="39"/>
      <c r="S8" s="62"/>
      <c r="T8" s="39"/>
      <c r="U8" s="51"/>
      <c r="V8" s="39"/>
      <c r="W8" s="9"/>
      <c r="X8" s="63"/>
      <c r="Y8" s="9"/>
      <c r="Z8" s="51"/>
      <c r="AA8" s="9"/>
      <c r="AB8" s="51"/>
      <c r="AC8" s="9"/>
      <c r="AD8" s="51"/>
      <c r="AE8" s="9"/>
      <c r="AF8" s="51"/>
      <c r="AG8" s="9"/>
      <c r="AH8" s="51"/>
      <c r="AI8" s="9"/>
      <c r="AJ8" s="51"/>
      <c r="AK8" s="9"/>
      <c r="AL8" s="51"/>
      <c r="AM8" s="9"/>
      <c r="AN8" s="51"/>
      <c r="AO8" s="9"/>
      <c r="AP8" s="51"/>
      <c r="AQ8" s="9"/>
      <c r="AR8" s="51"/>
      <c r="AS8" s="9"/>
      <c r="AT8" s="51"/>
      <c r="AU8" s="9"/>
      <c r="AV8" s="63"/>
      <c r="AW8" s="51"/>
      <c r="AX8" s="63"/>
      <c r="AY8" s="9"/>
      <c r="AZ8" s="63"/>
      <c r="BA8" s="9"/>
      <c r="BB8" s="63"/>
      <c r="BC8" s="9"/>
      <c r="BD8" s="63"/>
      <c r="BE8" s="9" t="s">
        <v>273</v>
      </c>
      <c r="BF8" s="63">
        <v>200</v>
      </c>
      <c r="BG8" s="9"/>
      <c r="BH8" s="63"/>
      <c r="BI8" s="51"/>
      <c r="BJ8" s="51"/>
      <c r="BK8" s="12">
        <f>SUM(C8:BJ8)</f>
        <v>200</v>
      </c>
      <c r="BL8" s="10" t="s">
        <v>15</v>
      </c>
    </row>
    <row r="9" s="31" customFormat="1" spans="1:64">
      <c r="A9" s="9"/>
      <c r="B9" s="45" t="s">
        <v>227</v>
      </c>
      <c r="C9" s="38"/>
      <c r="D9" s="39"/>
      <c r="E9" s="40"/>
      <c r="F9" s="40"/>
      <c r="G9" s="38"/>
      <c r="H9" s="39"/>
      <c r="I9" s="40"/>
      <c r="J9" s="39"/>
      <c r="K9" s="40"/>
      <c r="L9" s="39"/>
      <c r="M9" s="40"/>
      <c r="N9" s="39"/>
      <c r="O9" s="40"/>
      <c r="P9" s="39"/>
      <c r="Q9" s="40"/>
      <c r="R9" s="39"/>
      <c r="S9" s="38"/>
      <c r="T9" s="39"/>
      <c r="U9" s="51"/>
      <c r="V9" s="63"/>
      <c r="W9" s="9"/>
      <c r="X9" s="63"/>
      <c r="Y9" s="9"/>
      <c r="Z9" s="51"/>
      <c r="AA9" s="9" t="s">
        <v>230</v>
      </c>
      <c r="AB9" s="51">
        <v>21.8</v>
      </c>
      <c r="AC9" s="9" t="s">
        <v>230</v>
      </c>
      <c r="AD9" s="51">
        <v>25</v>
      </c>
      <c r="AE9" s="9"/>
      <c r="AF9" s="51"/>
      <c r="AG9" s="9"/>
      <c r="AH9" s="51"/>
      <c r="AI9" s="9"/>
      <c r="AJ9" s="51"/>
      <c r="AK9" s="9" t="s">
        <v>230</v>
      </c>
      <c r="AL9" s="51">
        <v>30</v>
      </c>
      <c r="AM9" s="9"/>
      <c r="AN9" s="51"/>
      <c r="AO9" s="9"/>
      <c r="AP9" s="51"/>
      <c r="AQ9" s="9"/>
      <c r="AR9" s="51"/>
      <c r="AS9" s="9"/>
      <c r="AT9" s="51"/>
      <c r="AU9" s="9"/>
      <c r="AV9" s="63"/>
      <c r="AW9" s="51"/>
      <c r="AX9" s="63"/>
      <c r="AY9" s="9"/>
      <c r="AZ9" s="63"/>
      <c r="BA9" s="9"/>
      <c r="BB9" s="63"/>
      <c r="BC9" s="9"/>
      <c r="BD9" s="63"/>
      <c r="BE9" s="9"/>
      <c r="BF9" s="63"/>
      <c r="BG9" s="9"/>
      <c r="BH9" s="63"/>
      <c r="BI9" s="51"/>
      <c r="BJ9" s="51"/>
      <c r="BK9" s="12">
        <f t="shared" ref="BK9:BK20" si="0">SUM(C9:BJ9)</f>
        <v>76.8</v>
      </c>
      <c r="BL9" s="10" t="s">
        <v>227</v>
      </c>
    </row>
    <row r="10" s="31" customFormat="1" spans="1:64">
      <c r="A10" s="9"/>
      <c r="B10" s="46" t="s">
        <v>21</v>
      </c>
      <c r="C10" s="38"/>
      <c r="D10" s="39"/>
      <c r="E10" s="40"/>
      <c r="F10" s="40"/>
      <c r="G10" s="38"/>
      <c r="H10" s="39"/>
      <c r="I10" s="40" t="s">
        <v>274</v>
      </c>
      <c r="J10" s="40">
        <v>6</v>
      </c>
      <c r="K10" s="38"/>
      <c r="L10" s="39"/>
      <c r="M10" s="38"/>
      <c r="N10" s="39"/>
      <c r="O10" s="38"/>
      <c r="P10" s="39"/>
      <c r="Q10" s="38"/>
      <c r="R10" s="39"/>
      <c r="S10" s="38"/>
      <c r="T10" s="39"/>
      <c r="U10" s="51"/>
      <c r="V10" s="63"/>
      <c r="W10" s="9"/>
      <c r="X10" s="63"/>
      <c r="Y10" s="9"/>
      <c r="Z10" s="51"/>
      <c r="AA10" s="9"/>
      <c r="AB10" s="51"/>
      <c r="AC10" s="9"/>
      <c r="AD10" s="51"/>
      <c r="AE10" s="9"/>
      <c r="AF10" s="51"/>
      <c r="AG10" s="9"/>
      <c r="AH10" s="51"/>
      <c r="AI10" s="9"/>
      <c r="AJ10" s="51"/>
      <c r="AK10" s="9"/>
      <c r="AL10" s="51"/>
      <c r="AM10" s="9"/>
      <c r="AN10" s="51"/>
      <c r="AO10" s="9"/>
      <c r="AP10" s="51"/>
      <c r="AQ10" s="9"/>
      <c r="AR10" s="51"/>
      <c r="AS10" s="9"/>
      <c r="AT10" s="51"/>
      <c r="AU10" s="9"/>
      <c r="AV10" s="63"/>
      <c r="AW10" s="51"/>
      <c r="AX10" s="63"/>
      <c r="AY10" s="9"/>
      <c r="AZ10" s="63"/>
      <c r="BA10" s="9"/>
      <c r="BB10" s="63"/>
      <c r="BC10" s="9"/>
      <c r="BD10" s="63"/>
      <c r="BE10" s="9"/>
      <c r="BF10" s="63"/>
      <c r="BG10" s="9"/>
      <c r="BH10" s="63"/>
      <c r="BI10" s="51"/>
      <c r="BJ10" s="51"/>
      <c r="BK10" s="12">
        <f t="shared" si="0"/>
        <v>6</v>
      </c>
      <c r="BL10" s="10" t="s">
        <v>21</v>
      </c>
    </row>
    <row r="11" s="31" customFormat="1" spans="1:64">
      <c r="A11" s="9"/>
      <c r="B11" s="46" t="s">
        <v>26</v>
      </c>
      <c r="C11" s="38"/>
      <c r="D11" s="40"/>
      <c r="E11" s="38"/>
      <c r="F11" s="39"/>
      <c r="G11" s="38"/>
      <c r="H11" s="39"/>
      <c r="I11" s="38"/>
      <c r="J11" s="39"/>
      <c r="K11" s="38"/>
      <c r="L11" s="39"/>
      <c r="M11" s="38"/>
      <c r="N11" s="39"/>
      <c r="O11" s="38"/>
      <c r="P11" s="39"/>
      <c r="Q11" s="38"/>
      <c r="R11" s="39"/>
      <c r="S11" s="38"/>
      <c r="T11" s="39"/>
      <c r="U11" s="51"/>
      <c r="V11" s="63"/>
      <c r="W11" s="9"/>
      <c r="X11" s="63"/>
      <c r="Y11" s="9"/>
      <c r="Z11" s="51"/>
      <c r="AA11" s="9"/>
      <c r="AB11" s="51"/>
      <c r="AC11" s="9"/>
      <c r="AD11" s="51"/>
      <c r="AE11" s="9"/>
      <c r="AF11" s="51"/>
      <c r="AG11" s="9"/>
      <c r="AH11" s="51"/>
      <c r="AI11" s="9"/>
      <c r="AJ11" s="51"/>
      <c r="AK11" s="9"/>
      <c r="AL11" s="51"/>
      <c r="AM11" s="9"/>
      <c r="AN11" s="51"/>
      <c r="AO11" s="9"/>
      <c r="AP11" s="51"/>
      <c r="AQ11" s="9"/>
      <c r="AR11" s="51"/>
      <c r="AS11" s="9"/>
      <c r="AT11" s="51"/>
      <c r="AU11" s="9"/>
      <c r="AV11" s="63"/>
      <c r="AW11" s="51"/>
      <c r="AX11" s="63"/>
      <c r="AY11" s="9"/>
      <c r="AZ11" s="63"/>
      <c r="BA11" s="9"/>
      <c r="BB11" s="63"/>
      <c r="BC11" s="9"/>
      <c r="BD11" s="63"/>
      <c r="BE11" s="9"/>
      <c r="BF11" s="63"/>
      <c r="BG11" s="9"/>
      <c r="BH11" s="63"/>
      <c r="BI11" s="51"/>
      <c r="BJ11" s="51"/>
      <c r="BK11" s="12">
        <f t="shared" si="0"/>
        <v>0</v>
      </c>
      <c r="BL11" s="10" t="s">
        <v>26</v>
      </c>
    </row>
    <row r="12" s="31" customFormat="1" spans="1:64">
      <c r="A12" s="9"/>
      <c r="B12" s="46" t="s">
        <v>29</v>
      </c>
      <c r="C12" s="38"/>
      <c r="D12" s="40"/>
      <c r="E12" s="38"/>
      <c r="F12" s="39"/>
      <c r="G12" s="38"/>
      <c r="H12" s="39"/>
      <c r="I12" s="38"/>
      <c r="J12" s="39"/>
      <c r="K12" s="38"/>
      <c r="L12" s="39"/>
      <c r="M12" s="38"/>
      <c r="N12" s="39"/>
      <c r="O12" s="38"/>
      <c r="P12" s="39"/>
      <c r="Q12" s="38"/>
      <c r="R12" s="39"/>
      <c r="S12" s="38"/>
      <c r="T12" s="39"/>
      <c r="U12" s="51"/>
      <c r="V12" s="63"/>
      <c r="W12" s="9"/>
      <c r="X12" s="63"/>
      <c r="Y12" s="9"/>
      <c r="Z12" s="51"/>
      <c r="AA12" s="9"/>
      <c r="AB12" s="51"/>
      <c r="AC12" s="9"/>
      <c r="AD12" s="51"/>
      <c r="AE12" s="9"/>
      <c r="AF12" s="51"/>
      <c r="AG12" s="9"/>
      <c r="AH12" s="51"/>
      <c r="AI12" s="9"/>
      <c r="AJ12" s="51"/>
      <c r="AK12" s="9"/>
      <c r="AL12" s="51"/>
      <c r="AM12" s="9"/>
      <c r="AN12" s="51"/>
      <c r="AO12" s="9"/>
      <c r="AP12" s="51"/>
      <c r="AQ12" s="9"/>
      <c r="AR12" s="51"/>
      <c r="AS12" s="9"/>
      <c r="AT12" s="51"/>
      <c r="AU12" s="9"/>
      <c r="AV12" s="63"/>
      <c r="AW12" s="51"/>
      <c r="AX12" s="63"/>
      <c r="AY12" s="9"/>
      <c r="AZ12" s="63"/>
      <c r="BA12" s="9"/>
      <c r="BB12" s="63"/>
      <c r="BC12" s="9"/>
      <c r="BD12" s="63"/>
      <c r="BE12" s="9"/>
      <c r="BF12" s="63"/>
      <c r="BG12" s="9"/>
      <c r="BH12" s="63"/>
      <c r="BI12" s="51"/>
      <c r="BJ12" s="51"/>
      <c r="BK12" s="12">
        <f t="shared" si="0"/>
        <v>0</v>
      </c>
      <c r="BL12" s="10" t="s">
        <v>29</v>
      </c>
    </row>
    <row r="13" s="31" customFormat="1" spans="1:64">
      <c r="A13" s="14" t="s">
        <v>30</v>
      </c>
      <c r="B13" s="47" t="s">
        <v>31</v>
      </c>
      <c r="C13" s="10" t="s">
        <v>275</v>
      </c>
      <c r="D13" s="14">
        <v>30</v>
      </c>
      <c r="E13" s="10"/>
      <c r="F13" s="14">
        <v>8</v>
      </c>
      <c r="G13" s="10"/>
      <c r="H13" s="14"/>
      <c r="I13" s="10"/>
      <c r="J13" s="14"/>
      <c r="K13" s="10"/>
      <c r="L13" s="14"/>
      <c r="M13" s="10"/>
      <c r="N13" s="14"/>
      <c r="O13" s="10"/>
      <c r="P13" s="14"/>
      <c r="Q13" s="10" t="s">
        <v>276</v>
      </c>
      <c r="R13" s="14">
        <v>8</v>
      </c>
      <c r="S13" s="10"/>
      <c r="T13" s="14"/>
      <c r="U13" s="10"/>
      <c r="V13" s="14"/>
      <c r="W13" s="10"/>
      <c r="X13" s="14"/>
      <c r="Y13" s="10"/>
      <c r="Z13" s="14"/>
      <c r="AA13" s="10"/>
      <c r="AB13" s="14"/>
      <c r="AC13" s="10"/>
      <c r="AD13" s="14"/>
      <c r="AE13" s="10"/>
      <c r="AF13" s="14"/>
      <c r="AG13" s="10"/>
      <c r="AH13" s="14"/>
      <c r="AI13" s="10"/>
      <c r="AJ13" s="14"/>
      <c r="AK13" s="10"/>
      <c r="AL13" s="14"/>
      <c r="AM13" s="10" t="s">
        <v>82</v>
      </c>
      <c r="AN13" s="14">
        <v>220</v>
      </c>
      <c r="AO13" s="10"/>
      <c r="AP13" s="14"/>
      <c r="AQ13" s="10"/>
      <c r="AR13" s="14"/>
      <c r="AS13" s="10"/>
      <c r="AT13" s="14"/>
      <c r="AU13" s="10"/>
      <c r="AV13" s="14"/>
      <c r="AW13" s="10" t="s">
        <v>277</v>
      </c>
      <c r="AX13" s="14">
        <v>289</v>
      </c>
      <c r="AY13" s="10"/>
      <c r="AZ13" s="14"/>
      <c r="BA13" s="10"/>
      <c r="BB13" s="14"/>
      <c r="BC13" s="10"/>
      <c r="BD13" s="14"/>
      <c r="BE13" s="10"/>
      <c r="BF13" s="14"/>
      <c r="BG13" s="10"/>
      <c r="BH13" s="14"/>
      <c r="BI13" s="14"/>
      <c r="BJ13" s="14"/>
      <c r="BK13" s="12">
        <f t="shared" si="0"/>
        <v>555</v>
      </c>
      <c r="BL13" s="10" t="s">
        <v>31</v>
      </c>
    </row>
    <row r="14" s="31" customFormat="1" spans="1:64">
      <c r="A14" s="14" t="s">
        <v>35</v>
      </c>
      <c r="B14" s="47" t="s">
        <v>36</v>
      </c>
      <c r="C14" s="10" t="s">
        <v>272</v>
      </c>
      <c r="D14" s="14">
        <v>1192</v>
      </c>
      <c r="E14" s="10"/>
      <c r="F14" s="14"/>
      <c r="G14" s="10"/>
      <c r="H14" s="14"/>
      <c r="I14" s="10"/>
      <c r="J14" s="14"/>
      <c r="K14" s="10"/>
      <c r="L14" s="14"/>
      <c r="M14" s="10"/>
      <c r="N14" s="14"/>
      <c r="O14" s="10" t="s">
        <v>278</v>
      </c>
      <c r="P14" s="14">
        <v>109</v>
      </c>
      <c r="Q14" s="10"/>
      <c r="R14" s="14"/>
      <c r="S14" s="10"/>
      <c r="T14" s="14"/>
      <c r="U14" s="10"/>
      <c r="V14" s="14"/>
      <c r="W14" s="10"/>
      <c r="X14" s="14"/>
      <c r="Y14" s="10"/>
      <c r="Z14" s="14"/>
      <c r="AA14" s="10"/>
      <c r="AB14" s="14"/>
      <c r="AC14" s="10"/>
      <c r="AD14" s="14"/>
      <c r="AE14" s="10"/>
      <c r="AF14" s="14"/>
      <c r="AG14" s="10"/>
      <c r="AH14" s="14"/>
      <c r="AI14" s="10"/>
      <c r="AJ14" s="14"/>
      <c r="AK14" s="10"/>
      <c r="AL14" s="14"/>
      <c r="AM14" s="10"/>
      <c r="AN14" s="14"/>
      <c r="AO14" s="10"/>
      <c r="AP14" s="14"/>
      <c r="AQ14" s="10"/>
      <c r="AR14" s="14"/>
      <c r="AS14" s="10"/>
      <c r="AT14" s="14"/>
      <c r="AU14" s="10" t="s">
        <v>279</v>
      </c>
      <c r="AV14" s="14">
        <v>88</v>
      </c>
      <c r="AW14" s="10"/>
      <c r="AX14" s="14"/>
      <c r="AY14" s="10"/>
      <c r="AZ14" s="14"/>
      <c r="BA14" s="10"/>
      <c r="BB14" s="14"/>
      <c r="BC14" s="10"/>
      <c r="BD14" s="14"/>
      <c r="BE14" s="10"/>
      <c r="BF14" s="14"/>
      <c r="BG14" s="10"/>
      <c r="BH14" s="14"/>
      <c r="BI14" s="14"/>
      <c r="BJ14" s="14"/>
      <c r="BK14" s="12">
        <f t="shared" si="0"/>
        <v>1389</v>
      </c>
      <c r="BL14" s="10" t="s">
        <v>36</v>
      </c>
    </row>
    <row r="15" s="31" customFormat="1" spans="1:64">
      <c r="A15" s="14" t="s">
        <v>38</v>
      </c>
      <c r="B15" s="47" t="s">
        <v>39</v>
      </c>
      <c r="C15" s="10" t="s">
        <v>280</v>
      </c>
      <c r="D15" s="14">
        <v>167</v>
      </c>
      <c r="E15" s="10"/>
      <c r="F15" s="14"/>
      <c r="G15" s="10" t="s">
        <v>281</v>
      </c>
      <c r="H15" s="14">
        <v>4100</v>
      </c>
      <c r="I15" s="10" t="s">
        <v>282</v>
      </c>
      <c r="J15" s="14">
        <f>9+13</f>
        <v>22</v>
      </c>
      <c r="K15" s="10"/>
      <c r="L15" s="14"/>
      <c r="M15" s="10" t="s">
        <v>283</v>
      </c>
      <c r="N15" s="14">
        <v>16</v>
      </c>
      <c r="O15" s="10"/>
      <c r="P15" s="14"/>
      <c r="Q15" s="10"/>
      <c r="R15" s="14"/>
      <c r="S15" s="10"/>
      <c r="T15" s="14"/>
      <c r="U15" s="10"/>
      <c r="V15" s="14"/>
      <c r="W15" s="10"/>
      <c r="X15" s="14"/>
      <c r="Y15" s="10"/>
      <c r="Z15" s="14"/>
      <c r="AA15" s="10"/>
      <c r="AB15" s="14"/>
      <c r="AC15" s="10"/>
      <c r="AD15" s="14"/>
      <c r="AE15" s="10"/>
      <c r="AF15" s="14"/>
      <c r="AG15" s="10"/>
      <c r="AH15" s="14"/>
      <c r="AI15" s="10"/>
      <c r="AJ15" s="14"/>
      <c r="AK15" s="10"/>
      <c r="AL15" s="14"/>
      <c r="AM15" s="10"/>
      <c r="AN15" s="14"/>
      <c r="AO15" s="10"/>
      <c r="AP15" s="14"/>
      <c r="AQ15" s="10"/>
      <c r="AR15" s="14"/>
      <c r="AS15" s="10"/>
      <c r="AT15" s="14"/>
      <c r="AU15" s="10" t="s">
        <v>284</v>
      </c>
      <c r="AV15" s="14">
        <v>21.7</v>
      </c>
      <c r="AW15" s="10"/>
      <c r="AX15" s="14"/>
      <c r="AY15" s="10"/>
      <c r="AZ15" s="14"/>
      <c r="BA15" s="10"/>
      <c r="BB15" s="14"/>
      <c r="BC15" s="10"/>
      <c r="BD15" s="14"/>
      <c r="BE15" s="10"/>
      <c r="BF15" s="14"/>
      <c r="BG15" s="10" t="s">
        <v>285</v>
      </c>
      <c r="BH15" s="14">
        <f>31+33</f>
        <v>64</v>
      </c>
      <c r="BI15" s="14"/>
      <c r="BJ15" s="14"/>
      <c r="BK15" s="12">
        <f t="shared" si="0"/>
        <v>4390.7</v>
      </c>
      <c r="BL15" s="10" t="s">
        <v>39</v>
      </c>
    </row>
    <row r="16" s="31" customFormat="1" spans="1:64">
      <c r="A16" s="14" t="s">
        <v>42</v>
      </c>
      <c r="B16" s="47" t="s">
        <v>43</v>
      </c>
      <c r="C16" s="10"/>
      <c r="D16" s="14"/>
      <c r="E16" s="10"/>
      <c r="F16" s="14"/>
      <c r="G16" s="10" t="s">
        <v>83</v>
      </c>
      <c r="H16" s="14">
        <v>200</v>
      </c>
      <c r="I16" s="10"/>
      <c r="J16" s="14"/>
      <c r="K16" s="10"/>
      <c r="L16" s="14"/>
      <c r="M16" s="10"/>
      <c r="N16" s="14"/>
      <c r="O16" s="10"/>
      <c r="P16" s="14"/>
      <c r="Q16" s="10" t="s">
        <v>286</v>
      </c>
      <c r="R16" s="14">
        <v>9</v>
      </c>
      <c r="S16" s="10"/>
      <c r="T16" s="14"/>
      <c r="U16" s="10"/>
      <c r="V16" s="14"/>
      <c r="W16" s="10"/>
      <c r="X16" s="14"/>
      <c r="Y16" s="10" t="s">
        <v>269</v>
      </c>
      <c r="Z16" s="14">
        <v>45</v>
      </c>
      <c r="AA16" s="10"/>
      <c r="AB16" s="14"/>
      <c r="AC16" s="10"/>
      <c r="AD16" s="14"/>
      <c r="AE16" s="10"/>
      <c r="AF16" s="14"/>
      <c r="AG16" s="10"/>
      <c r="AH16" s="14"/>
      <c r="AI16" s="10"/>
      <c r="AJ16" s="14"/>
      <c r="AK16" s="10"/>
      <c r="AL16" s="14"/>
      <c r="AM16" s="10"/>
      <c r="AN16" s="14"/>
      <c r="AO16" s="10"/>
      <c r="AP16" s="14">
        <v>6</v>
      </c>
      <c r="AQ16" s="10"/>
      <c r="AR16" s="14"/>
      <c r="AS16" s="10"/>
      <c r="AT16" s="14"/>
      <c r="AU16" s="10"/>
      <c r="AV16" s="14"/>
      <c r="AW16" s="10"/>
      <c r="AX16" s="14"/>
      <c r="AY16" s="10"/>
      <c r="AZ16" s="14"/>
      <c r="BA16" s="10"/>
      <c r="BB16" s="14"/>
      <c r="BC16" s="10"/>
      <c r="BD16" s="14"/>
      <c r="BE16" s="10"/>
      <c r="BF16" s="14"/>
      <c r="BG16" s="10"/>
      <c r="BH16" s="14"/>
      <c r="BI16" s="14"/>
      <c r="BJ16" s="14"/>
      <c r="BK16" s="12">
        <f t="shared" si="0"/>
        <v>260</v>
      </c>
      <c r="BL16" s="10" t="s">
        <v>43</v>
      </c>
    </row>
    <row r="17" s="31" customFormat="1" ht="17" spans="1:64">
      <c r="A17" s="16" t="s">
        <v>45</v>
      </c>
      <c r="B17" s="14" t="s">
        <v>46</v>
      </c>
      <c r="C17" s="14"/>
      <c r="D17" s="77"/>
      <c r="E17" s="14"/>
      <c r="F17" s="77"/>
      <c r="G17" s="14"/>
      <c r="H17" s="77"/>
      <c r="I17" s="14"/>
      <c r="J17" s="77"/>
      <c r="K17" s="14"/>
      <c r="L17" s="77"/>
      <c r="M17" s="14"/>
      <c r="N17" s="77"/>
      <c r="O17" s="14"/>
      <c r="P17" s="77"/>
      <c r="Q17" s="14"/>
      <c r="R17" s="77"/>
      <c r="S17" s="14"/>
      <c r="T17" s="77"/>
      <c r="U17" s="14"/>
      <c r="V17" s="77"/>
      <c r="W17" s="14"/>
      <c r="X17" s="77"/>
      <c r="Y17" s="14"/>
      <c r="Z17" s="77"/>
      <c r="AA17" s="14"/>
      <c r="AB17" s="77"/>
      <c r="AC17" s="14"/>
      <c r="AD17" s="77"/>
      <c r="AE17" s="14"/>
      <c r="AF17" s="77"/>
      <c r="AG17" s="14"/>
      <c r="AH17" s="77"/>
      <c r="AI17" s="14"/>
      <c r="AJ17" s="77"/>
      <c r="AK17" s="14"/>
      <c r="AL17" s="77"/>
      <c r="AM17" s="14"/>
      <c r="AN17" s="77"/>
      <c r="AO17" s="14"/>
      <c r="AP17" s="77"/>
      <c r="AQ17" s="14"/>
      <c r="AR17" s="77"/>
      <c r="AS17" s="14"/>
      <c r="AT17" s="77"/>
      <c r="AU17" s="14"/>
      <c r="AV17" s="77"/>
      <c r="AW17" s="14" t="s">
        <v>287</v>
      </c>
      <c r="AX17" s="77">
        <v>2000</v>
      </c>
      <c r="AY17" s="14"/>
      <c r="AZ17" s="77"/>
      <c r="BA17" s="14"/>
      <c r="BB17" s="77"/>
      <c r="BC17" s="14"/>
      <c r="BD17" s="77"/>
      <c r="BE17" s="14"/>
      <c r="BF17" s="77"/>
      <c r="BG17" s="14"/>
      <c r="BH17" s="77"/>
      <c r="BI17" s="14"/>
      <c r="BJ17" s="77"/>
      <c r="BK17" s="12">
        <f t="shared" si="0"/>
        <v>2000</v>
      </c>
      <c r="BL17" s="10" t="s">
        <v>46</v>
      </c>
    </row>
    <row r="18" s="31" customFormat="1" spans="1:64">
      <c r="A18" s="14"/>
      <c r="B18" s="17" t="s">
        <v>47</v>
      </c>
      <c r="C18" s="14">
        <f>SUM(C3:D17)</f>
        <v>1447</v>
      </c>
      <c r="D18" s="48"/>
      <c r="E18" s="14">
        <f>SUM(E3:F17)</f>
        <v>78</v>
      </c>
      <c r="F18" s="48"/>
      <c r="G18" s="14">
        <f>SUM(G3:H17)</f>
        <v>4328</v>
      </c>
      <c r="H18" s="48"/>
      <c r="I18" s="14">
        <f>SUM(I3:J17)</f>
        <v>51.5</v>
      </c>
      <c r="J18" s="48"/>
      <c r="K18" s="14">
        <f>SUM(K3:L17)</f>
        <v>23.5</v>
      </c>
      <c r="L18" s="48"/>
      <c r="M18" s="14">
        <f>SUM(M3:N17)</f>
        <v>68.5</v>
      </c>
      <c r="N18" s="48"/>
      <c r="O18" s="14">
        <f>SUM(O3:P17)</f>
        <v>122</v>
      </c>
      <c r="P18" s="48"/>
      <c r="Q18" s="14">
        <f>SUM(Q3:R17)</f>
        <v>160</v>
      </c>
      <c r="R18" s="48"/>
      <c r="S18" s="14">
        <f>SUM(S3:T17)</f>
        <v>26</v>
      </c>
      <c r="T18" s="48"/>
      <c r="U18" s="14">
        <f>SUM(U3:V17)</f>
        <v>34</v>
      </c>
      <c r="V18" s="48"/>
      <c r="W18" s="14">
        <f>SUM(W3:X17)</f>
        <v>31</v>
      </c>
      <c r="X18" s="48"/>
      <c r="Y18" s="14">
        <f>SUM(Y3:Z17)</f>
        <v>61</v>
      </c>
      <c r="Z18" s="48"/>
      <c r="AA18" s="14">
        <f>SUM(AA3:AB17)</f>
        <v>160.8</v>
      </c>
      <c r="AB18" s="48"/>
      <c r="AC18" s="14">
        <f>SUM(AC3:AD17)</f>
        <v>115</v>
      </c>
      <c r="AD18" s="48"/>
      <c r="AE18" s="14">
        <f>SUM(AE3:AF17)</f>
        <v>187</v>
      </c>
      <c r="AF18" s="48"/>
      <c r="AG18" s="14">
        <f>SUM(AG3:AH17)</f>
        <v>137.5</v>
      </c>
      <c r="AH18" s="48"/>
      <c r="AI18" s="14">
        <f>SUM(AI3:AJ17)</f>
        <v>35.5</v>
      </c>
      <c r="AJ18" s="48"/>
      <c r="AK18" s="14">
        <f>SUM(AK3:AL17)</f>
        <v>99</v>
      </c>
      <c r="AL18" s="48"/>
      <c r="AM18" s="14">
        <f>SUM(AM3:AN17)</f>
        <v>277</v>
      </c>
      <c r="AN18" s="48"/>
      <c r="AO18" s="14">
        <f>SUM(AO3:AP17)</f>
        <v>30</v>
      </c>
      <c r="AP18" s="48"/>
      <c r="AQ18" s="14">
        <f>SUM(AQ3:AR17)</f>
        <v>63</v>
      </c>
      <c r="AR18" s="48"/>
      <c r="AS18" s="14">
        <f>SUM(AS3:AT17)</f>
        <v>146</v>
      </c>
      <c r="AT18" s="48"/>
      <c r="AU18" s="14">
        <f>SUM(AU3:AV17)</f>
        <v>117.7</v>
      </c>
      <c r="AV18" s="48"/>
      <c r="AW18" s="14">
        <f>SUM(AW3:AX17)</f>
        <v>2289</v>
      </c>
      <c r="AX18" s="48"/>
      <c r="AY18" s="14">
        <f>SUM(AY3:AZ17)</f>
        <v>17</v>
      </c>
      <c r="AZ18" s="48"/>
      <c r="BA18" s="14">
        <f>SUM(BA3:BB17)</f>
        <v>15</v>
      </c>
      <c r="BB18" s="48"/>
      <c r="BC18" s="14">
        <f>SUM(BC3:BD17)</f>
        <v>0</v>
      </c>
      <c r="BD18" s="48"/>
      <c r="BE18" s="14">
        <f>SUM(BE3:BF17)</f>
        <v>200</v>
      </c>
      <c r="BF18" s="48"/>
      <c r="BG18" s="14">
        <f>SUM(BG3:BH17)</f>
        <v>99.17</v>
      </c>
      <c r="BH18" s="48"/>
      <c r="BI18" s="14">
        <f>SUM(BI3:BJ17)</f>
        <v>39.5</v>
      </c>
      <c r="BJ18" s="48"/>
      <c r="BK18" s="23">
        <f t="shared" si="0"/>
        <v>10458.67</v>
      </c>
      <c r="BL18" s="17" t="s">
        <v>47</v>
      </c>
    </row>
    <row r="19" s="32" customFormat="1" spans="1:64">
      <c r="A19" s="10" t="s">
        <v>48</v>
      </c>
      <c r="B19" s="18" t="s">
        <v>49</v>
      </c>
      <c r="C19" s="49"/>
      <c r="D19" s="50"/>
      <c r="E19" s="49"/>
      <c r="F19" s="50"/>
      <c r="G19" s="49"/>
      <c r="H19" s="50"/>
      <c r="I19" s="49"/>
      <c r="J19" s="50"/>
      <c r="K19" s="49"/>
      <c r="L19" s="50"/>
      <c r="M19" s="49"/>
      <c r="N19" s="50"/>
      <c r="O19" s="49" t="s">
        <v>50</v>
      </c>
      <c r="P19" s="50">
        <v>430</v>
      </c>
      <c r="Q19" s="49"/>
      <c r="R19" s="50"/>
      <c r="S19" s="49"/>
      <c r="T19" s="50"/>
      <c r="U19" s="49"/>
      <c r="V19" s="50"/>
      <c r="W19" s="49"/>
      <c r="X19" s="50"/>
      <c r="Y19" s="49"/>
      <c r="Z19" s="50"/>
      <c r="AA19" s="49"/>
      <c r="AB19" s="50"/>
      <c r="AC19" s="49" t="s">
        <v>50</v>
      </c>
      <c r="AD19" s="50">
        <v>130</v>
      </c>
      <c r="AE19" s="49"/>
      <c r="AF19" s="50"/>
      <c r="AG19" s="49"/>
      <c r="AH19" s="50"/>
      <c r="AI19" s="49"/>
      <c r="AJ19" s="50"/>
      <c r="AK19" s="49"/>
      <c r="AL19" s="50"/>
      <c r="AM19" s="49"/>
      <c r="AN19" s="50"/>
      <c r="AO19" s="49"/>
      <c r="AP19" s="50"/>
      <c r="AQ19" s="49" t="s">
        <v>50</v>
      </c>
      <c r="AR19" s="50">
        <v>130</v>
      </c>
      <c r="AS19" s="49"/>
      <c r="AT19" s="50"/>
      <c r="AU19" s="49"/>
      <c r="AV19" s="50"/>
      <c r="AW19" s="49"/>
      <c r="AX19" s="50"/>
      <c r="AY19" s="49"/>
      <c r="AZ19" s="50"/>
      <c r="BA19" s="49"/>
      <c r="BB19" s="50"/>
      <c r="BC19" s="49"/>
      <c r="BD19" s="50"/>
      <c r="BE19" s="49" t="s">
        <v>50</v>
      </c>
      <c r="BF19" s="50">
        <v>300</v>
      </c>
      <c r="BG19" s="49"/>
      <c r="BH19" s="50"/>
      <c r="BI19" s="50"/>
      <c r="BJ19" s="50"/>
      <c r="BK19" s="7">
        <f t="shared" si="0"/>
        <v>990</v>
      </c>
      <c r="BL19" s="18" t="s">
        <v>49</v>
      </c>
    </row>
    <row r="20" s="31" customFormat="1" spans="1:64">
      <c r="A20" s="51"/>
      <c r="B20" s="18" t="s">
        <v>51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7">
        <f t="shared" si="0"/>
        <v>0</v>
      </c>
      <c r="BL20" s="18" t="s">
        <v>51</v>
      </c>
    </row>
    <row r="21" s="31" customFormat="1" spans="1:64">
      <c r="A21" s="51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/>
      <c r="AP21"/>
      <c r="AQ2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73"/>
      <c r="BE21" s="73"/>
      <c r="BF21" s="73"/>
      <c r="BG21" s="73"/>
      <c r="BH21" s="73"/>
      <c r="BI21" s="73"/>
      <c r="BJ21" s="73"/>
      <c r="BK21" s="73"/>
      <c r="BL21" s="53"/>
    </row>
    <row r="22" s="31" customFormat="1" spans="1:64">
      <c r="A22" s="51"/>
      <c r="B22" s="10" t="s">
        <v>239</v>
      </c>
      <c r="C22" s="20" t="s">
        <v>98</v>
      </c>
      <c r="D22" s="32"/>
      <c r="E22" s="32"/>
      <c r="F22" s="32"/>
      <c r="G22" s="32"/>
      <c r="H22" s="32"/>
      <c r="I22" s="32"/>
      <c r="J22"/>
      <c r="K22"/>
      <c r="L22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73"/>
      <c r="BE22" s="73"/>
      <c r="BF22" s="73"/>
      <c r="BG22" s="73"/>
      <c r="BH22" s="73"/>
      <c r="BI22" s="73"/>
      <c r="BJ22" s="73"/>
      <c r="BK22" s="73"/>
      <c r="BL22"/>
    </row>
    <row r="23" s="31" customFormat="1" spans="1:64">
      <c r="A23" s="51"/>
      <c r="B23" s="54" t="s">
        <v>60</v>
      </c>
      <c r="C23" s="20">
        <f>3500+1500+1200+2000</f>
        <v>8200</v>
      </c>
      <c r="D23" s="55"/>
      <c r="E23" s="32"/>
      <c r="F23" s="32"/>
      <c r="G23" s="32"/>
      <c r="H23" s="32"/>
      <c r="I23" s="32"/>
      <c r="J23"/>
      <c r="K23"/>
      <c r="L2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73"/>
      <c r="BE23" s="73"/>
      <c r="BF23" s="73"/>
      <c r="BG23" s="73"/>
      <c r="BH23" s="73"/>
      <c r="BI23" s="73"/>
      <c r="BJ23" s="73"/>
      <c r="BK23" s="73"/>
      <c r="BL23"/>
    </row>
    <row r="24" s="31" customFormat="1" spans="1:64">
      <c r="A24" s="51"/>
      <c r="B24" s="53"/>
      <c r="C24" s="53"/>
      <c r="D24" s="32"/>
      <c r="E24" s="32"/>
      <c r="F24" s="32"/>
      <c r="G24" s="32"/>
      <c r="H24" s="32"/>
      <c r="I24" s="32"/>
      <c r="J24"/>
      <c r="K24"/>
      <c r="L24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73"/>
      <c r="BE24" s="73"/>
      <c r="BF24" s="73"/>
      <c r="BG24" s="73"/>
      <c r="BH24" s="73"/>
      <c r="BI24" s="73"/>
      <c r="BJ24" s="73"/>
      <c r="BK24" s="73"/>
      <c r="BL24"/>
    </row>
    <row r="25" s="31" customFormat="1" spans="1:64">
      <c r="A25" s="51"/>
      <c r="B25" s="53"/>
      <c r="C25" s="53"/>
      <c r="D25" s="32"/>
      <c r="E25" s="32"/>
      <c r="F25" s="32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/>
    </row>
    <row r="26" s="31" customFormat="1" spans="1:64">
      <c r="A26" s="51"/>
      <c r="B26" s="53"/>
      <c r="C26" s="53"/>
      <c r="D26" s="51"/>
      <c r="E26" s="51"/>
      <c r="F26" s="51"/>
      <c r="G26" s="51"/>
      <c r="H26" s="51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/>
    </row>
    <row r="27" s="31" customFormat="1" spans="1:64">
      <c r="A27" s="51"/>
      <c r="B27" s="53"/>
      <c r="C27" s="53"/>
      <c r="D27" s="51"/>
      <c r="E27" s="51"/>
      <c r="F27" s="51"/>
      <c r="G27" s="51"/>
      <c r="H27" s="51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/>
    </row>
    <row r="28" s="31" customFormat="1" spans="1:64">
      <c r="A28" s="51"/>
      <c r="B28" s="51"/>
      <c r="C28" s="51"/>
      <c r="D28" s="51"/>
      <c r="E28" s="51"/>
      <c r="F28" s="51"/>
      <c r="G28" s="51"/>
      <c r="H28" s="51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/>
    </row>
    <row r="29" s="31" customFormat="1" spans="1:64">
      <c r="A29" s="51"/>
      <c r="D29" s="51"/>
      <c r="E29" s="51"/>
      <c r="F29" s="51"/>
      <c r="G29" s="51"/>
      <c r="H29" s="51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/>
    </row>
    <row r="30" s="31" customFormat="1" spans="1:64">
      <c r="A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3"/>
    </row>
    <row r="31" s="31" customFormat="1" spans="1:64">
      <c r="A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3"/>
    </row>
    <row r="32" s="31" customFormat="1" spans="1:64">
      <c r="A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3"/>
    </row>
    <row r="33" s="31" customFormat="1" spans="1:64">
      <c r="A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3"/>
    </row>
    <row r="34" s="31" customFormat="1" spans="1:64">
      <c r="A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</row>
  </sheetData>
  <mergeCells count="66">
    <mergeCell ref="C1:F1"/>
    <mergeCell ref="BA1:BB1"/>
    <mergeCell ref="BE1:BF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N18"/>
    <mergeCell ref="AO18:AP18"/>
    <mergeCell ref="AQ18:AR18"/>
    <mergeCell ref="AS18:AT18"/>
    <mergeCell ref="AU18:AV18"/>
    <mergeCell ref="AW18:AX18"/>
    <mergeCell ref="AY18:AZ18"/>
    <mergeCell ref="BA18:BB18"/>
    <mergeCell ref="BC18:BD18"/>
    <mergeCell ref="BE18:BF18"/>
    <mergeCell ref="BG18:BH18"/>
    <mergeCell ref="BI18:BJ18"/>
    <mergeCell ref="A3:A6"/>
    <mergeCell ref="A7:A12"/>
    <mergeCell ref="BK3:BK6"/>
  </mergeCells>
  <pageMargins left="0.75" right="0.75" top="1" bottom="1" header="0.511805555555556" footer="0.511805555555556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N35"/>
  <sheetViews>
    <sheetView zoomScale="89" zoomScaleNormal="89" topLeftCell="BC1" workbookViewId="0">
      <selection activeCell="BN16" sqref="BN16"/>
    </sheetView>
  </sheetViews>
  <sheetFormatPr defaultColWidth="9.81730769230769" defaultRowHeight="16.8"/>
  <cols>
    <col min="1" max="1" width="6" style="31" customWidth="1"/>
    <col min="2" max="2" width="17.6153846153846" style="31" customWidth="1"/>
    <col min="3" max="3" width="10.3076923076923" style="31" customWidth="1"/>
    <col min="4" max="4" width="7.69230769230769" style="31" customWidth="1"/>
    <col min="5" max="5" width="9.66346153846154" style="31" customWidth="1"/>
    <col min="6" max="6" width="6.69230769230769" style="31" customWidth="1"/>
    <col min="7" max="7" width="3.84615384615385" style="31" customWidth="1"/>
    <col min="8" max="8" width="7.69230769230769" style="31" customWidth="1"/>
    <col min="9" max="9" width="9.66346153846154" style="31" customWidth="1"/>
    <col min="10" max="10" width="6.69230769230769" style="31" customWidth="1"/>
    <col min="11" max="11" width="6" style="31" customWidth="1"/>
    <col min="12" max="12" width="7.69230769230769" style="31" customWidth="1"/>
    <col min="13" max="13" width="10.7788461538462" style="31" customWidth="1"/>
    <col min="14" max="14" width="6.69230769230769" style="31" customWidth="1"/>
    <col min="15" max="15" width="8.84615384615385" style="31" customWidth="1"/>
    <col min="16" max="16" width="6.69230769230769" style="31" customWidth="1"/>
    <col min="17" max="17" width="12.7692307692308" style="31" customWidth="1"/>
    <col min="18" max="18" width="6.69230769230769" style="31" customWidth="1"/>
    <col min="19" max="19" width="8.15384615384615" style="31" customWidth="1"/>
    <col min="20" max="20" width="6.69230769230769" style="31" customWidth="1"/>
    <col min="21" max="21" width="8.15384615384615" style="31" customWidth="1"/>
    <col min="22" max="22" width="6.69230769230769" style="31" customWidth="1"/>
    <col min="23" max="23" width="17.6153846153846" style="31" customWidth="1"/>
    <col min="24" max="24" width="7.69230769230769" style="31" customWidth="1"/>
    <col min="25" max="25" width="6" style="31" customWidth="1"/>
    <col min="26" max="26" width="7.69230769230769" style="31" customWidth="1"/>
    <col min="27" max="27" width="6" style="31" customWidth="1"/>
    <col min="28" max="28" width="7.69230769230769" style="31" customWidth="1"/>
    <col min="29" max="29" width="15.1538461538462" style="31" customWidth="1"/>
    <col min="30" max="30" width="8.69230769230769" style="31" customWidth="1"/>
    <col min="31" max="31" width="10.3076923076923" style="31" customWidth="1"/>
    <col min="32" max="32" width="8.69230769230769" style="31" customWidth="1"/>
    <col min="33" max="33" width="8.15384615384615" style="31" customWidth="1"/>
    <col min="34" max="34" width="7.69230769230769" style="31" customWidth="1"/>
    <col min="35" max="35" width="14.3846153846154" style="31" customWidth="1"/>
    <col min="36" max="36" width="6.69230769230769" style="31" customWidth="1"/>
    <col min="37" max="37" width="15.1538461538462" style="31" customWidth="1"/>
    <col min="38" max="38" width="7.69230769230769" style="31" customWidth="1"/>
    <col min="39" max="39" width="6" style="31" customWidth="1"/>
    <col min="40" max="40" width="7.69230769230769" style="31" customWidth="1"/>
    <col min="41" max="41" width="10.3076923076923" style="31" customWidth="1"/>
    <col min="42" max="42" width="7.69230769230769" style="31" customWidth="1"/>
    <col min="43" max="43" width="17.5576923076923" style="31" customWidth="1"/>
    <col min="44" max="44" width="6.69230769230769" style="31" customWidth="1"/>
    <col min="45" max="45" width="16.7692307692308" style="31" customWidth="1"/>
    <col min="46" max="46" width="6.69230769230769" style="31" customWidth="1"/>
    <col min="47" max="47" width="20.8846153846154" style="31" customWidth="1"/>
    <col min="48" max="48" width="6.69230769230769" style="31" customWidth="1"/>
    <col min="49" max="49" width="6" style="31" customWidth="1"/>
    <col min="50" max="50" width="7.69230769230769" style="31" customWidth="1"/>
    <col min="51" max="51" width="15.1538461538462" style="31" customWidth="1"/>
    <col min="52" max="52" width="7.69230769230769" style="31" customWidth="1"/>
    <col min="53" max="53" width="6" style="31" customWidth="1"/>
    <col min="54" max="54" width="7.69230769230769" style="31" customWidth="1"/>
    <col min="55" max="55" width="6" style="31" customWidth="1"/>
    <col min="56" max="56" width="7.69230769230769" style="31" customWidth="1"/>
    <col min="57" max="57" width="7.66346153846154" style="31" customWidth="1"/>
    <col min="58" max="58" width="6.69230769230769" style="31" customWidth="1"/>
    <col min="59" max="59" width="9.66346153846154" style="31" customWidth="1"/>
    <col min="60" max="60" width="6.69230769230769" style="31" customWidth="1"/>
    <col min="61" max="61" width="13.5384615384615" style="31" customWidth="1"/>
    <col min="62" max="62" width="7.69230769230769" style="31" customWidth="1"/>
    <col min="63" max="63" width="10.3076923076923" style="31" customWidth="1"/>
    <col min="64" max="64" width="7.69230769230769" style="31" customWidth="1"/>
    <col min="65" max="65" width="8.15384615384615" style="31" customWidth="1"/>
    <col min="66" max="66" width="15.1538461538462" style="31" customWidth="1"/>
    <col min="67" max="14413" width="8.875" style="31"/>
  </cols>
  <sheetData>
    <row r="1" s="31" customFormat="1" spans="3:58">
      <c r="C1" s="33"/>
      <c r="D1" s="33"/>
      <c r="E1" s="33"/>
      <c r="F1" s="33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61"/>
      <c r="BA1" s="71"/>
      <c r="BB1" s="71"/>
      <c r="BE1" s="74"/>
      <c r="BF1" s="74"/>
    </row>
    <row r="2" s="31" customFormat="1" spans="1:66">
      <c r="A2" s="1"/>
      <c r="B2" s="34" t="s">
        <v>1</v>
      </c>
      <c r="C2" s="35">
        <v>44166</v>
      </c>
      <c r="D2" s="36"/>
      <c r="E2" s="35">
        <v>44167</v>
      </c>
      <c r="F2" s="36"/>
      <c r="G2" s="35">
        <v>44168</v>
      </c>
      <c r="H2" s="36"/>
      <c r="I2" s="35">
        <v>44169</v>
      </c>
      <c r="J2" s="36"/>
      <c r="K2" s="35">
        <v>44170</v>
      </c>
      <c r="L2" s="36"/>
      <c r="M2" s="35">
        <v>44171</v>
      </c>
      <c r="N2" s="36"/>
      <c r="O2" s="35">
        <v>44172</v>
      </c>
      <c r="P2" s="36"/>
      <c r="Q2" s="35">
        <v>44173</v>
      </c>
      <c r="R2" s="36"/>
      <c r="S2" s="35">
        <v>44174</v>
      </c>
      <c r="T2" s="36"/>
      <c r="U2" s="35">
        <v>44175</v>
      </c>
      <c r="V2" s="36"/>
      <c r="W2" s="35">
        <v>44176</v>
      </c>
      <c r="X2" s="36"/>
      <c r="Y2" s="35">
        <v>44177</v>
      </c>
      <c r="Z2" s="36"/>
      <c r="AA2" s="35">
        <v>44178</v>
      </c>
      <c r="AB2" s="36"/>
      <c r="AC2" s="35">
        <v>44179</v>
      </c>
      <c r="AD2" s="36"/>
      <c r="AE2" s="35">
        <v>44180</v>
      </c>
      <c r="AF2" s="36"/>
      <c r="AG2" s="35">
        <v>44181</v>
      </c>
      <c r="AH2" s="36"/>
      <c r="AI2" s="35">
        <v>44182</v>
      </c>
      <c r="AJ2" s="36"/>
      <c r="AK2" s="35">
        <v>44183</v>
      </c>
      <c r="AL2" s="36"/>
      <c r="AM2" s="35">
        <v>44184</v>
      </c>
      <c r="AN2" s="36"/>
      <c r="AO2" s="35">
        <v>44185</v>
      </c>
      <c r="AP2" s="36"/>
      <c r="AQ2" s="35">
        <v>44186</v>
      </c>
      <c r="AR2" s="36"/>
      <c r="AS2" s="35">
        <v>44187</v>
      </c>
      <c r="AT2" s="36"/>
      <c r="AU2" s="35">
        <v>44188</v>
      </c>
      <c r="AV2" s="36"/>
      <c r="AW2" s="35">
        <v>44189</v>
      </c>
      <c r="AX2" s="36"/>
      <c r="AY2" s="35">
        <v>44190</v>
      </c>
      <c r="AZ2" s="36"/>
      <c r="BA2" s="35">
        <v>44191</v>
      </c>
      <c r="BB2" s="36"/>
      <c r="BC2" s="35">
        <v>44192</v>
      </c>
      <c r="BD2" s="36"/>
      <c r="BE2" s="35">
        <v>44193</v>
      </c>
      <c r="BF2" s="36"/>
      <c r="BG2" s="35">
        <v>44194</v>
      </c>
      <c r="BH2" s="36"/>
      <c r="BI2" s="35">
        <v>44195</v>
      </c>
      <c r="BJ2" s="36"/>
      <c r="BK2" s="35">
        <v>44196</v>
      </c>
      <c r="BL2" s="36"/>
      <c r="BM2" s="78" t="s">
        <v>3</v>
      </c>
      <c r="BN2" s="2" t="s">
        <v>1</v>
      </c>
    </row>
    <row r="3" s="31" customFormat="1" spans="1:66">
      <c r="A3" s="9" t="s">
        <v>4</v>
      </c>
      <c r="B3" s="37" t="s">
        <v>5</v>
      </c>
      <c r="C3" s="38"/>
      <c r="D3" s="39"/>
      <c r="E3" s="57"/>
      <c r="F3" s="58">
        <v>20.5</v>
      </c>
      <c r="G3" s="40"/>
      <c r="H3" s="39"/>
      <c r="I3" s="38"/>
      <c r="J3" s="39"/>
      <c r="K3" s="38"/>
      <c r="L3" s="39">
        <v>5</v>
      </c>
      <c r="M3" s="38"/>
      <c r="N3" s="39"/>
      <c r="O3" s="38"/>
      <c r="P3" s="39">
        <v>10</v>
      </c>
      <c r="Q3" s="38"/>
      <c r="R3" s="39">
        <v>10</v>
      </c>
      <c r="S3" s="38"/>
      <c r="T3" s="39"/>
      <c r="U3" s="51"/>
      <c r="V3" s="63">
        <v>10</v>
      </c>
      <c r="W3" s="9"/>
      <c r="X3" s="63">
        <v>20.5</v>
      </c>
      <c r="Y3" s="9"/>
      <c r="Z3" s="51"/>
      <c r="AA3" s="9"/>
      <c r="AB3" s="51"/>
      <c r="AC3" s="9"/>
      <c r="AD3" s="51"/>
      <c r="AE3" s="9"/>
      <c r="AF3" s="51"/>
      <c r="AG3" s="9"/>
      <c r="AH3" s="51">
        <v>9</v>
      </c>
      <c r="AI3" s="9"/>
      <c r="AJ3" s="51"/>
      <c r="AK3" s="9"/>
      <c r="AL3" s="51"/>
      <c r="AM3" s="9"/>
      <c r="AN3" s="51"/>
      <c r="AO3" s="9"/>
      <c r="AP3" s="51"/>
      <c r="AQ3" s="9"/>
      <c r="AR3" s="51"/>
      <c r="AS3" s="9"/>
      <c r="AT3" s="51">
        <v>10</v>
      </c>
      <c r="AU3" s="9"/>
      <c r="AV3" s="63">
        <v>5.8</v>
      </c>
      <c r="AW3" s="51"/>
      <c r="AX3" s="63">
        <v>20</v>
      </c>
      <c r="AY3" s="9"/>
      <c r="AZ3" s="63"/>
      <c r="BA3" s="9"/>
      <c r="BB3" s="63"/>
      <c r="BC3" s="9"/>
      <c r="BD3" s="63"/>
      <c r="BE3" s="9"/>
      <c r="BF3" s="75"/>
      <c r="BG3" s="9"/>
      <c r="BH3" s="63"/>
      <c r="BI3" s="9"/>
      <c r="BJ3" s="63">
        <v>14</v>
      </c>
      <c r="BK3" s="9"/>
      <c r="BL3" s="63">
        <v>23</v>
      </c>
      <c r="BM3" s="12">
        <f>SUM(C3:BL6)</f>
        <v>1611.13</v>
      </c>
      <c r="BN3" s="5" t="s">
        <v>5</v>
      </c>
    </row>
    <row r="4" s="31" customFormat="1" spans="1:66">
      <c r="A4" s="9"/>
      <c r="B4" s="37" t="s">
        <v>6</v>
      </c>
      <c r="C4" s="38"/>
      <c r="D4" s="39">
        <v>20.5</v>
      </c>
      <c r="E4" s="40"/>
      <c r="F4" s="39">
        <v>14</v>
      </c>
      <c r="G4" s="40"/>
      <c r="H4" s="39">
        <v>12.6</v>
      </c>
      <c r="I4" s="38"/>
      <c r="J4" s="39">
        <v>14</v>
      </c>
      <c r="K4" s="38"/>
      <c r="L4" s="39"/>
      <c r="M4" s="38"/>
      <c r="N4" s="39">
        <v>26</v>
      </c>
      <c r="O4" s="38"/>
      <c r="P4" s="39">
        <v>18</v>
      </c>
      <c r="Q4" s="38"/>
      <c r="R4" s="39">
        <v>12</v>
      </c>
      <c r="S4" s="38"/>
      <c r="T4" s="39">
        <v>12</v>
      </c>
      <c r="U4" s="51"/>
      <c r="V4" s="63">
        <v>16</v>
      </c>
      <c r="W4" s="9"/>
      <c r="X4" s="63">
        <v>11</v>
      </c>
      <c r="Y4" s="9"/>
      <c r="Z4" s="51"/>
      <c r="AA4" s="9"/>
      <c r="AB4" s="51">
        <v>12</v>
      </c>
      <c r="AC4" s="9"/>
      <c r="AD4" s="51">
        <v>12</v>
      </c>
      <c r="AE4" s="9"/>
      <c r="AF4" s="51">
        <v>13</v>
      </c>
      <c r="AG4" s="9"/>
      <c r="AH4" s="51">
        <v>11</v>
      </c>
      <c r="AI4" s="9"/>
      <c r="AJ4" s="51">
        <v>12</v>
      </c>
      <c r="AK4" s="9"/>
      <c r="AL4" s="51">
        <v>11</v>
      </c>
      <c r="AM4" s="9"/>
      <c r="AN4" s="51"/>
      <c r="AO4" s="9"/>
      <c r="AP4" s="51">
        <v>13</v>
      </c>
      <c r="AQ4" s="9"/>
      <c r="AR4" s="51">
        <v>12</v>
      </c>
      <c r="AS4" s="9"/>
      <c r="AT4" s="51"/>
      <c r="AU4" s="9"/>
      <c r="AV4" s="63">
        <v>10</v>
      </c>
      <c r="AW4" s="51"/>
      <c r="AX4" s="63"/>
      <c r="AY4" s="9"/>
      <c r="AZ4" s="63">
        <v>12</v>
      </c>
      <c r="BA4" s="9"/>
      <c r="BB4" s="63"/>
      <c r="BC4" s="9"/>
      <c r="BD4" s="63">
        <v>21</v>
      </c>
      <c r="BE4" s="9"/>
      <c r="BF4" s="75">
        <v>13.5</v>
      </c>
      <c r="BG4" s="9"/>
      <c r="BH4" s="63">
        <v>12.8</v>
      </c>
      <c r="BI4" s="9"/>
      <c r="BJ4" s="63"/>
      <c r="BK4" s="9"/>
      <c r="BL4" s="63"/>
      <c r="BM4" s="12"/>
      <c r="BN4" s="5" t="s">
        <v>6</v>
      </c>
    </row>
    <row r="5" s="31" customFormat="1" spans="1:66">
      <c r="A5" s="9"/>
      <c r="B5" s="37" t="s">
        <v>7</v>
      </c>
      <c r="C5" s="38"/>
      <c r="D5" s="40"/>
      <c r="E5" s="38"/>
      <c r="F5" s="40">
        <v>20</v>
      </c>
      <c r="G5" s="38"/>
      <c r="H5" s="40">
        <v>30</v>
      </c>
      <c r="I5" s="38"/>
      <c r="J5" s="39">
        <v>10</v>
      </c>
      <c r="K5" s="38"/>
      <c r="L5" s="39"/>
      <c r="M5" s="38"/>
      <c r="N5" s="39">
        <v>12</v>
      </c>
      <c r="O5" s="38"/>
      <c r="P5" s="39">
        <v>8</v>
      </c>
      <c r="Q5" s="38"/>
      <c r="R5" s="39"/>
      <c r="S5" s="38"/>
      <c r="T5" s="39"/>
      <c r="U5" s="51"/>
      <c r="V5" s="63">
        <v>33</v>
      </c>
      <c r="W5" s="9"/>
      <c r="X5" s="63">
        <v>75</v>
      </c>
      <c r="Y5" s="9"/>
      <c r="Z5" s="51"/>
      <c r="AA5" s="9"/>
      <c r="AB5" s="51">
        <v>34</v>
      </c>
      <c r="AC5" s="9"/>
      <c r="AD5" s="51">
        <v>19</v>
      </c>
      <c r="AE5" s="9"/>
      <c r="AF5" s="51">
        <v>38</v>
      </c>
      <c r="AG5" s="9"/>
      <c r="AH5" s="51">
        <v>199</v>
      </c>
      <c r="AI5" s="9"/>
      <c r="AJ5" s="51">
        <v>23</v>
      </c>
      <c r="AK5" s="9"/>
      <c r="AL5" s="51">
        <v>33</v>
      </c>
      <c r="AM5" s="9"/>
      <c r="AN5" s="51"/>
      <c r="AO5" s="9"/>
      <c r="AP5" s="51">
        <v>41</v>
      </c>
      <c r="AQ5" s="9"/>
      <c r="AR5" s="51">
        <v>14.5</v>
      </c>
      <c r="AS5" s="9"/>
      <c r="AT5" s="51">
        <v>37</v>
      </c>
      <c r="AU5" s="9"/>
      <c r="AV5" s="63">
        <v>18.75</v>
      </c>
      <c r="AW5" s="51"/>
      <c r="AX5" s="63"/>
      <c r="AY5" s="9"/>
      <c r="AZ5" s="63">
        <v>45</v>
      </c>
      <c r="BA5" s="9"/>
      <c r="BB5" s="63"/>
      <c r="BC5" s="9"/>
      <c r="BD5" s="63">
        <v>12</v>
      </c>
      <c r="BE5" s="9"/>
      <c r="BF5" s="75">
        <v>12</v>
      </c>
      <c r="BG5" s="9"/>
      <c r="BH5" s="63">
        <v>51</v>
      </c>
      <c r="BI5" s="9"/>
      <c r="BJ5" s="63">
        <v>34</v>
      </c>
      <c r="BK5" s="9"/>
      <c r="BL5" s="63">
        <v>42.28</v>
      </c>
      <c r="BM5" s="12"/>
      <c r="BN5" s="5" t="s">
        <v>7</v>
      </c>
    </row>
    <row r="6" s="31" customFormat="1" spans="1:66">
      <c r="A6" s="4"/>
      <c r="B6" s="41" t="s">
        <v>288</v>
      </c>
      <c r="C6" s="42"/>
      <c r="D6" s="43"/>
      <c r="E6" s="42"/>
      <c r="F6" s="43"/>
      <c r="G6" s="42"/>
      <c r="H6" s="43"/>
      <c r="I6" s="42"/>
      <c r="J6" s="60"/>
      <c r="K6" s="42"/>
      <c r="L6" s="60"/>
      <c r="M6" s="42"/>
      <c r="N6" s="60"/>
      <c r="O6" s="42"/>
      <c r="P6" s="60"/>
      <c r="Q6" s="42"/>
      <c r="R6" s="60"/>
      <c r="S6" s="42"/>
      <c r="T6" s="60"/>
      <c r="U6" s="64"/>
      <c r="V6" s="65"/>
      <c r="W6" s="4"/>
      <c r="X6" s="65"/>
      <c r="Y6" s="4"/>
      <c r="Z6" s="64"/>
      <c r="AA6" s="4"/>
      <c r="AB6" s="64"/>
      <c r="AC6" s="4"/>
      <c r="AD6" s="64">
        <v>16.8</v>
      </c>
      <c r="AE6" s="4" t="s">
        <v>131</v>
      </c>
      <c r="AF6" s="64">
        <v>23</v>
      </c>
      <c r="AG6" s="4"/>
      <c r="AH6" s="64"/>
      <c r="AI6" s="4"/>
      <c r="AJ6" s="64"/>
      <c r="AK6" s="4"/>
      <c r="AL6" s="64"/>
      <c r="AM6" s="4"/>
      <c r="AN6" s="64"/>
      <c r="AO6" s="4" t="s">
        <v>289</v>
      </c>
      <c r="AP6" s="64">
        <v>28</v>
      </c>
      <c r="AQ6" s="4"/>
      <c r="AR6" s="64"/>
      <c r="AS6" s="4"/>
      <c r="AT6" s="64"/>
      <c r="AU6" s="4"/>
      <c r="AV6" s="65"/>
      <c r="AW6" s="64"/>
      <c r="AX6" s="65"/>
      <c r="AY6" s="4"/>
      <c r="AZ6" s="65"/>
      <c r="BA6" s="4"/>
      <c r="BB6" s="65"/>
      <c r="BC6" s="4"/>
      <c r="BD6" s="65"/>
      <c r="BE6" s="4"/>
      <c r="BF6" s="76"/>
      <c r="BG6" s="4"/>
      <c r="BH6" s="65">
        <v>27</v>
      </c>
      <c r="BI6" s="4"/>
      <c r="BJ6" s="65">
        <v>93.6</v>
      </c>
      <c r="BK6" s="4"/>
      <c r="BL6" s="65">
        <v>102</v>
      </c>
      <c r="BM6" s="12"/>
      <c r="BN6" s="10" t="s">
        <v>288</v>
      </c>
    </row>
    <row r="7" s="31" customFormat="1" spans="1:66">
      <c r="A7" s="8" t="s">
        <v>10</v>
      </c>
      <c r="B7" s="44" t="s">
        <v>11</v>
      </c>
      <c r="C7" s="38"/>
      <c r="D7" s="39"/>
      <c r="E7" s="57"/>
      <c r="F7" s="57"/>
      <c r="G7" s="59"/>
      <c r="H7" s="58"/>
      <c r="I7" s="57"/>
      <c r="J7" s="58"/>
      <c r="K7" s="57"/>
      <c r="L7" s="58">
        <v>41</v>
      </c>
      <c r="M7" s="57"/>
      <c r="N7" s="39"/>
      <c r="O7" s="57"/>
      <c r="P7" s="58"/>
      <c r="Q7" s="57"/>
      <c r="R7" s="58"/>
      <c r="S7" s="57"/>
      <c r="T7" s="39">
        <v>22</v>
      </c>
      <c r="U7" s="66"/>
      <c r="V7" s="67">
        <v>3</v>
      </c>
      <c r="W7" s="8"/>
      <c r="X7" s="67"/>
      <c r="Y7" s="8"/>
      <c r="Z7" s="66">
        <v>38</v>
      </c>
      <c r="AA7" s="8"/>
      <c r="AB7" s="66">
        <v>37</v>
      </c>
      <c r="AC7" s="8"/>
      <c r="AD7" s="66"/>
      <c r="AE7" s="8"/>
      <c r="AF7" s="66">
        <v>22</v>
      </c>
      <c r="AG7" s="8"/>
      <c r="AH7" s="66"/>
      <c r="AI7" s="8"/>
      <c r="AJ7" s="66"/>
      <c r="AK7" s="8"/>
      <c r="AL7" s="66"/>
      <c r="AM7" s="8"/>
      <c r="AN7" s="66">
        <v>2.5</v>
      </c>
      <c r="AO7" s="8"/>
      <c r="AP7" s="66">
        <v>2.5</v>
      </c>
      <c r="AQ7" s="8"/>
      <c r="AR7" s="66"/>
      <c r="AS7" s="8"/>
      <c r="AT7" s="66"/>
      <c r="AU7" s="8"/>
      <c r="AV7" s="67">
        <v>35</v>
      </c>
      <c r="AW7" s="66"/>
      <c r="AX7" s="67"/>
      <c r="AY7" s="8"/>
      <c r="AZ7" s="67"/>
      <c r="BA7" s="8"/>
      <c r="BB7" s="67">
        <v>52.5</v>
      </c>
      <c r="BC7" s="8"/>
      <c r="BD7" s="67">
        <v>12</v>
      </c>
      <c r="BE7" s="8"/>
      <c r="BF7" s="67"/>
      <c r="BG7" s="8"/>
      <c r="BH7" s="67"/>
      <c r="BI7" s="8"/>
      <c r="BJ7" s="67">
        <v>45.43</v>
      </c>
      <c r="BK7" s="8"/>
      <c r="BL7" s="67">
        <v>80.36</v>
      </c>
      <c r="BM7" s="12">
        <f>SUM(C7:BL7)</f>
        <v>393.29</v>
      </c>
      <c r="BN7" s="10" t="s">
        <v>11</v>
      </c>
    </row>
    <row r="8" s="31" customFormat="1" spans="1:66">
      <c r="A8" s="9"/>
      <c r="B8" s="44" t="s">
        <v>15</v>
      </c>
      <c r="C8" s="38"/>
      <c r="D8" s="39"/>
      <c r="E8" s="40"/>
      <c r="F8" s="40"/>
      <c r="G8" s="38"/>
      <c r="H8" s="39"/>
      <c r="I8" s="40"/>
      <c r="J8" s="39"/>
      <c r="K8" s="40"/>
      <c r="L8" s="39"/>
      <c r="M8" s="40"/>
      <c r="N8" s="39"/>
      <c r="O8" s="40"/>
      <c r="P8" s="39"/>
      <c r="Q8" s="40"/>
      <c r="R8" s="39"/>
      <c r="S8" s="62"/>
      <c r="T8" s="39"/>
      <c r="U8" s="51"/>
      <c r="V8" s="63"/>
      <c r="W8" s="9"/>
      <c r="X8" s="63"/>
      <c r="Y8" s="9"/>
      <c r="Z8" s="51"/>
      <c r="AA8" s="9"/>
      <c r="AB8" s="51"/>
      <c r="AC8" s="9"/>
      <c r="AD8" s="51"/>
      <c r="AE8" s="9" t="s">
        <v>290</v>
      </c>
      <c r="AF8" s="51">
        <v>52.1</v>
      </c>
      <c r="AG8" s="9"/>
      <c r="AH8" s="51"/>
      <c r="AI8" s="9"/>
      <c r="AJ8" s="51"/>
      <c r="AK8" s="9"/>
      <c r="AL8" s="51"/>
      <c r="AM8" s="9"/>
      <c r="AN8" s="51"/>
      <c r="AO8" s="9"/>
      <c r="AP8" s="51"/>
      <c r="AQ8" s="9"/>
      <c r="AR8" s="51"/>
      <c r="AS8" s="9"/>
      <c r="AT8" s="51"/>
      <c r="AU8" s="9"/>
      <c r="AV8" s="63"/>
      <c r="AW8" s="51"/>
      <c r="AX8" s="63"/>
      <c r="AY8" s="9"/>
      <c r="AZ8" s="63"/>
      <c r="BA8" s="9"/>
      <c r="BB8" s="63"/>
      <c r="BC8" s="9"/>
      <c r="BD8" s="63"/>
      <c r="BE8" s="9"/>
      <c r="BF8" s="63"/>
      <c r="BG8" s="9"/>
      <c r="BH8" s="63"/>
      <c r="BI8" s="9"/>
      <c r="BJ8" s="63"/>
      <c r="BK8" s="9"/>
      <c r="BL8" s="63"/>
      <c r="BM8" s="12">
        <f>SUM(C8:BL8)</f>
        <v>52.1</v>
      </c>
      <c r="BN8" s="10" t="s">
        <v>15</v>
      </c>
    </row>
    <row r="9" s="31" customFormat="1" spans="1:66">
      <c r="A9" s="9"/>
      <c r="B9" s="45" t="s">
        <v>227</v>
      </c>
      <c r="C9" s="38"/>
      <c r="D9" s="39"/>
      <c r="E9" s="40"/>
      <c r="F9" s="40"/>
      <c r="G9" s="38"/>
      <c r="H9" s="39"/>
      <c r="I9" s="40"/>
      <c r="J9" s="39"/>
      <c r="K9" s="40"/>
      <c r="L9" s="39"/>
      <c r="M9" s="40"/>
      <c r="N9" s="39"/>
      <c r="O9" s="40" t="s">
        <v>291</v>
      </c>
      <c r="P9" s="39">
        <v>42</v>
      </c>
      <c r="Q9" s="40"/>
      <c r="R9" s="39"/>
      <c r="S9" s="38"/>
      <c r="T9" s="39"/>
      <c r="U9" s="51"/>
      <c r="V9" s="63"/>
      <c r="W9" s="9"/>
      <c r="X9" s="63"/>
      <c r="Y9" s="9"/>
      <c r="Z9" s="51"/>
      <c r="AA9" s="9"/>
      <c r="AB9" s="51"/>
      <c r="AC9" s="9"/>
      <c r="AD9" s="51"/>
      <c r="AE9" s="9"/>
      <c r="AF9" s="51"/>
      <c r="AG9" s="9"/>
      <c r="AH9" s="51"/>
      <c r="AI9" s="9"/>
      <c r="AJ9" s="51"/>
      <c r="AK9" s="9"/>
      <c r="AL9" s="51"/>
      <c r="AM9" s="9"/>
      <c r="AN9" s="51"/>
      <c r="AO9" s="9"/>
      <c r="AP9" s="51"/>
      <c r="AQ9" s="9"/>
      <c r="AR9" s="51"/>
      <c r="AS9" s="9"/>
      <c r="AT9" s="51"/>
      <c r="AU9" s="9"/>
      <c r="AV9" s="63"/>
      <c r="AW9" s="51"/>
      <c r="AX9" s="63"/>
      <c r="AY9" s="9"/>
      <c r="AZ9" s="63"/>
      <c r="BA9" s="9"/>
      <c r="BB9" s="63"/>
      <c r="BC9" s="9"/>
      <c r="BD9" s="63"/>
      <c r="BE9" s="9"/>
      <c r="BF9" s="63"/>
      <c r="BG9" s="9"/>
      <c r="BH9" s="63"/>
      <c r="BI9" s="9" t="s">
        <v>292</v>
      </c>
      <c r="BJ9" s="63">
        <v>150</v>
      </c>
      <c r="BK9" s="9" t="s">
        <v>293</v>
      </c>
      <c r="BL9" s="63">
        <v>100</v>
      </c>
      <c r="BM9" s="12">
        <f t="shared" ref="BM9:BM21" si="0">SUM(C9:BL9)</f>
        <v>292</v>
      </c>
      <c r="BN9" s="10" t="s">
        <v>227</v>
      </c>
    </row>
    <row r="10" s="31" customFormat="1" spans="1:66">
      <c r="A10" s="9"/>
      <c r="B10" s="46" t="s">
        <v>21</v>
      </c>
      <c r="C10" s="38"/>
      <c r="D10" s="39"/>
      <c r="E10" s="40"/>
      <c r="F10" s="40"/>
      <c r="G10" s="38"/>
      <c r="H10" s="39"/>
      <c r="I10" s="40"/>
      <c r="J10" s="40"/>
      <c r="K10" s="38"/>
      <c r="L10" s="39"/>
      <c r="M10" s="38"/>
      <c r="N10" s="39"/>
      <c r="O10" s="38"/>
      <c r="P10" s="39"/>
      <c r="Q10" s="38" t="s">
        <v>294</v>
      </c>
      <c r="R10" s="39">
        <v>18</v>
      </c>
      <c r="S10" s="38"/>
      <c r="T10" s="39"/>
      <c r="U10" s="51"/>
      <c r="V10" s="63"/>
      <c r="W10" s="9"/>
      <c r="X10" s="63"/>
      <c r="Y10" s="9"/>
      <c r="Z10" s="51"/>
      <c r="AA10" s="9"/>
      <c r="AB10" s="51"/>
      <c r="AC10" s="9"/>
      <c r="AD10" s="51"/>
      <c r="AE10" s="9"/>
      <c r="AF10" s="51"/>
      <c r="AG10" s="9" t="s">
        <v>80</v>
      </c>
      <c r="AH10" s="51">
        <v>6</v>
      </c>
      <c r="AI10" s="9"/>
      <c r="AJ10" s="51"/>
      <c r="AK10" s="9"/>
      <c r="AL10" s="51"/>
      <c r="AM10" s="9"/>
      <c r="AN10" s="51"/>
      <c r="AO10" s="9"/>
      <c r="AP10" s="51"/>
      <c r="AQ10" s="9"/>
      <c r="AR10" s="51"/>
      <c r="AS10" s="9"/>
      <c r="AT10" s="51"/>
      <c r="AU10" s="9"/>
      <c r="AV10" s="63"/>
      <c r="AW10" s="51"/>
      <c r="AX10" s="63"/>
      <c r="AY10" s="9"/>
      <c r="AZ10" s="63"/>
      <c r="BA10" s="9"/>
      <c r="BB10" s="63"/>
      <c r="BC10" s="9"/>
      <c r="BD10" s="63"/>
      <c r="BE10" s="9"/>
      <c r="BF10" s="63"/>
      <c r="BG10" s="9"/>
      <c r="BH10" s="63"/>
      <c r="BI10" s="9"/>
      <c r="BJ10" s="63"/>
      <c r="BK10" s="9"/>
      <c r="BL10" s="63"/>
      <c r="BM10" s="12">
        <f t="shared" si="0"/>
        <v>24</v>
      </c>
      <c r="BN10" s="10" t="s">
        <v>21</v>
      </c>
    </row>
    <row r="11" s="31" customFormat="1" spans="1:66">
      <c r="A11" s="9"/>
      <c r="B11" s="46" t="s">
        <v>26</v>
      </c>
      <c r="C11" s="38"/>
      <c r="D11" s="40"/>
      <c r="E11" s="38"/>
      <c r="F11" s="39"/>
      <c r="G11" s="38"/>
      <c r="H11" s="39"/>
      <c r="I11" s="38"/>
      <c r="J11" s="39"/>
      <c r="K11" s="38"/>
      <c r="L11" s="39"/>
      <c r="M11" s="38"/>
      <c r="N11" s="39"/>
      <c r="O11" s="38"/>
      <c r="P11" s="39"/>
      <c r="Q11" s="38"/>
      <c r="R11" s="39"/>
      <c r="S11" s="38" t="s">
        <v>295</v>
      </c>
      <c r="T11" s="39">
        <v>72</v>
      </c>
      <c r="U11" s="51" t="s">
        <v>143</v>
      </c>
      <c r="V11" s="63">
        <v>58</v>
      </c>
      <c r="W11" s="9" t="s">
        <v>296</v>
      </c>
      <c r="X11" s="63">
        <v>300</v>
      </c>
      <c r="Y11" s="9"/>
      <c r="Z11" s="51"/>
      <c r="AA11" s="9" t="s">
        <v>297</v>
      </c>
      <c r="AB11" s="51">
        <v>50</v>
      </c>
      <c r="AC11" s="9"/>
      <c r="AD11" s="51"/>
      <c r="AE11" s="9"/>
      <c r="AF11" s="51"/>
      <c r="AG11" s="9"/>
      <c r="AH11" s="51"/>
      <c r="AI11" s="9"/>
      <c r="AJ11" s="51"/>
      <c r="AK11" s="9"/>
      <c r="AL11" s="51"/>
      <c r="AM11" s="9"/>
      <c r="AN11" s="51"/>
      <c r="AO11" s="9" t="s">
        <v>298</v>
      </c>
      <c r="AP11" s="51">
        <v>50</v>
      </c>
      <c r="AQ11" s="9"/>
      <c r="AR11" s="51"/>
      <c r="AS11" s="9"/>
      <c r="AT11" s="51"/>
      <c r="AU11" s="9"/>
      <c r="AV11" s="63"/>
      <c r="AW11" s="51"/>
      <c r="AX11" s="63"/>
      <c r="AY11" s="9"/>
      <c r="AZ11" s="63"/>
      <c r="BA11" s="9"/>
      <c r="BB11" s="63"/>
      <c r="BC11" s="9"/>
      <c r="BD11" s="63"/>
      <c r="BE11" s="9"/>
      <c r="BF11" s="63"/>
      <c r="BG11" s="9"/>
      <c r="BH11" s="63"/>
      <c r="BI11" s="9"/>
      <c r="BJ11" s="63"/>
      <c r="BK11" s="9"/>
      <c r="BL11" s="63"/>
      <c r="BM11" s="12">
        <f t="shared" si="0"/>
        <v>530</v>
      </c>
      <c r="BN11" s="10" t="s">
        <v>26</v>
      </c>
    </row>
    <row r="12" s="31" customFormat="1" spans="1:66">
      <c r="A12" s="9"/>
      <c r="B12" s="46" t="s">
        <v>29</v>
      </c>
      <c r="C12" s="38"/>
      <c r="D12" s="40"/>
      <c r="E12" s="38"/>
      <c r="F12" s="39"/>
      <c r="G12" s="38"/>
      <c r="H12" s="39"/>
      <c r="I12" s="38"/>
      <c r="J12" s="39"/>
      <c r="K12" s="38"/>
      <c r="L12" s="39"/>
      <c r="M12" s="38"/>
      <c r="N12" s="39"/>
      <c r="O12" s="38"/>
      <c r="P12" s="39"/>
      <c r="Q12" s="38"/>
      <c r="R12" s="39"/>
      <c r="S12" s="38"/>
      <c r="T12" s="39"/>
      <c r="U12" s="51"/>
      <c r="V12" s="63"/>
      <c r="W12" s="9"/>
      <c r="X12" s="63"/>
      <c r="Y12" s="9"/>
      <c r="Z12" s="51"/>
      <c r="AA12" s="9"/>
      <c r="AB12" s="51"/>
      <c r="AC12" s="9"/>
      <c r="AD12" s="51"/>
      <c r="AE12" s="9"/>
      <c r="AF12" s="51"/>
      <c r="AG12" s="9"/>
      <c r="AH12" s="51"/>
      <c r="AI12" s="9"/>
      <c r="AJ12" s="51"/>
      <c r="AK12" s="9"/>
      <c r="AL12" s="51"/>
      <c r="AM12" s="9"/>
      <c r="AN12" s="51"/>
      <c r="AO12" s="9"/>
      <c r="AP12" s="51"/>
      <c r="AQ12" s="9"/>
      <c r="AR12" s="51"/>
      <c r="AS12" s="9"/>
      <c r="AT12" s="51"/>
      <c r="AU12" s="9"/>
      <c r="AV12" s="63"/>
      <c r="AW12" s="51"/>
      <c r="AX12" s="63"/>
      <c r="AY12" s="9"/>
      <c r="AZ12" s="63"/>
      <c r="BA12" s="9"/>
      <c r="BB12" s="63"/>
      <c r="BC12" s="9"/>
      <c r="BD12" s="63"/>
      <c r="BE12" s="9"/>
      <c r="BF12" s="63"/>
      <c r="BG12" s="9"/>
      <c r="BH12" s="63"/>
      <c r="BI12" s="9"/>
      <c r="BJ12" s="63"/>
      <c r="BK12" s="9" t="s">
        <v>299</v>
      </c>
      <c r="BL12" s="63">
        <v>208</v>
      </c>
      <c r="BM12" s="12">
        <f t="shared" si="0"/>
        <v>208</v>
      </c>
      <c r="BN12" s="10" t="s">
        <v>29</v>
      </c>
    </row>
    <row r="13" s="31" customFormat="1" spans="1:66">
      <c r="A13" s="14" t="s">
        <v>30</v>
      </c>
      <c r="B13" s="47" t="s">
        <v>31</v>
      </c>
      <c r="C13" s="10"/>
      <c r="D13" s="14"/>
      <c r="E13" s="10"/>
      <c r="F13" s="14"/>
      <c r="G13" s="10"/>
      <c r="H13" s="14"/>
      <c r="I13" s="10"/>
      <c r="J13" s="14"/>
      <c r="K13" s="10"/>
      <c r="L13" s="14"/>
      <c r="M13" s="10"/>
      <c r="N13" s="14"/>
      <c r="O13" s="10"/>
      <c r="P13" s="14"/>
      <c r="Q13" s="10" t="s">
        <v>32</v>
      </c>
      <c r="R13" s="14">
        <v>22</v>
      </c>
      <c r="S13" s="10"/>
      <c r="T13" s="14"/>
      <c r="U13" s="10"/>
      <c r="V13" s="14"/>
      <c r="W13" s="10"/>
      <c r="X13" s="14"/>
      <c r="Y13" s="10" t="s">
        <v>175</v>
      </c>
      <c r="Z13" s="14">
        <v>5</v>
      </c>
      <c r="AA13" s="10"/>
      <c r="AB13" s="14"/>
      <c r="AC13" s="10"/>
      <c r="AD13" s="14"/>
      <c r="AE13" s="10"/>
      <c r="AF13" s="14"/>
      <c r="AG13" s="10"/>
      <c r="AH13" s="14"/>
      <c r="AI13" s="10"/>
      <c r="AJ13" s="14"/>
      <c r="AK13" s="10"/>
      <c r="AL13" s="14"/>
      <c r="AM13" s="10" t="s">
        <v>69</v>
      </c>
      <c r="AN13" s="14">
        <v>100</v>
      </c>
      <c r="AO13" s="10"/>
      <c r="AP13" s="14"/>
      <c r="AQ13" s="10"/>
      <c r="AR13" s="14"/>
      <c r="AS13" s="10" t="s">
        <v>300</v>
      </c>
      <c r="AT13" s="14">
        <f>12+3</f>
        <v>15</v>
      </c>
      <c r="AU13" s="10"/>
      <c r="AV13" s="14"/>
      <c r="AW13" s="10"/>
      <c r="AX13" s="14"/>
      <c r="AY13" s="10"/>
      <c r="AZ13" s="14"/>
      <c r="BA13" s="10"/>
      <c r="BB13" s="14"/>
      <c r="BC13" s="10"/>
      <c r="BD13" s="14"/>
      <c r="BE13" s="10"/>
      <c r="BF13" s="14"/>
      <c r="BG13" s="10"/>
      <c r="BH13" s="14"/>
      <c r="BI13" s="14"/>
      <c r="BJ13" s="14"/>
      <c r="BK13" s="14"/>
      <c r="BL13" s="14"/>
      <c r="BM13" s="12">
        <f t="shared" si="0"/>
        <v>142</v>
      </c>
      <c r="BN13" s="10" t="s">
        <v>31</v>
      </c>
    </row>
    <row r="14" s="31" customFormat="1" spans="1:66">
      <c r="A14" s="14" t="s">
        <v>35</v>
      </c>
      <c r="B14" s="47" t="s">
        <v>36</v>
      </c>
      <c r="C14" s="10"/>
      <c r="D14" s="14"/>
      <c r="E14" s="10"/>
      <c r="F14" s="14"/>
      <c r="G14" s="10"/>
      <c r="H14" s="14"/>
      <c r="I14" s="10"/>
      <c r="J14" s="14"/>
      <c r="K14" s="10"/>
      <c r="L14" s="14"/>
      <c r="M14" s="10"/>
      <c r="N14" s="14"/>
      <c r="O14" s="10"/>
      <c r="P14" s="14"/>
      <c r="Q14" s="10"/>
      <c r="R14" s="14"/>
      <c r="S14" s="10"/>
      <c r="T14" s="14"/>
      <c r="U14" s="10"/>
      <c r="V14" s="14"/>
      <c r="W14" s="10"/>
      <c r="X14" s="14"/>
      <c r="Y14" s="10"/>
      <c r="Z14" s="14"/>
      <c r="AA14" s="10"/>
      <c r="AB14" s="14"/>
      <c r="AC14" s="10"/>
      <c r="AD14" s="14"/>
      <c r="AE14" s="10"/>
      <c r="AF14" s="14"/>
      <c r="AG14" s="10"/>
      <c r="AH14" s="14"/>
      <c r="AI14" s="10"/>
      <c r="AJ14" s="14"/>
      <c r="AK14" s="10"/>
      <c r="AL14" s="14"/>
      <c r="AM14" s="10"/>
      <c r="AN14" s="14"/>
      <c r="AO14" s="10"/>
      <c r="AP14" s="14"/>
      <c r="AQ14" s="10"/>
      <c r="AR14" s="14"/>
      <c r="AS14" s="10"/>
      <c r="AT14" s="14"/>
      <c r="AU14" s="10"/>
      <c r="AV14" s="14"/>
      <c r="AW14" s="10"/>
      <c r="AX14" s="14"/>
      <c r="AY14" s="10"/>
      <c r="AZ14" s="14"/>
      <c r="BA14" s="10"/>
      <c r="BB14" s="14"/>
      <c r="BC14" s="10"/>
      <c r="BD14" s="14"/>
      <c r="BE14" s="10"/>
      <c r="BF14" s="14"/>
      <c r="BG14" s="10"/>
      <c r="BH14" s="14"/>
      <c r="BI14" s="14"/>
      <c r="BJ14" s="14"/>
      <c r="BK14" s="14"/>
      <c r="BL14" s="14"/>
      <c r="BM14" s="12">
        <f t="shared" si="0"/>
        <v>0</v>
      </c>
      <c r="BN14" s="10" t="s">
        <v>36</v>
      </c>
    </row>
    <row r="15" s="31" customFormat="1" spans="1:66">
      <c r="A15" s="14" t="s">
        <v>38</v>
      </c>
      <c r="B15" s="47" t="s">
        <v>39</v>
      </c>
      <c r="C15" s="10"/>
      <c r="D15" s="14"/>
      <c r="E15" s="10"/>
      <c r="F15" s="14"/>
      <c r="G15" s="10"/>
      <c r="H15" s="14"/>
      <c r="I15" s="10"/>
      <c r="J15" s="14"/>
      <c r="K15" s="10"/>
      <c r="L15" s="14"/>
      <c r="M15" s="10"/>
      <c r="N15" s="14"/>
      <c r="O15" s="10"/>
      <c r="P15" s="14"/>
      <c r="Q15" s="10"/>
      <c r="R15" s="14"/>
      <c r="S15" s="10"/>
      <c r="T15" s="14"/>
      <c r="U15" s="10"/>
      <c r="V15" s="14"/>
      <c r="W15" s="10"/>
      <c r="X15" s="14"/>
      <c r="Y15" s="10"/>
      <c r="Z15" s="14"/>
      <c r="AA15" s="10"/>
      <c r="AB15" s="14"/>
      <c r="AC15" s="10"/>
      <c r="AD15" s="14"/>
      <c r="AE15" s="10"/>
      <c r="AF15" s="14"/>
      <c r="AG15" s="10"/>
      <c r="AH15" s="14"/>
      <c r="AI15" s="10" t="s">
        <v>301</v>
      </c>
      <c r="AJ15" s="14">
        <f>26+44</f>
        <v>70</v>
      </c>
      <c r="AK15" s="10" t="s">
        <v>302</v>
      </c>
      <c r="AL15" s="14">
        <v>63</v>
      </c>
      <c r="AM15" s="10"/>
      <c r="AN15" s="14"/>
      <c r="AO15" s="10"/>
      <c r="AP15" s="14"/>
      <c r="AQ15" s="10"/>
      <c r="AR15" s="14"/>
      <c r="AS15" s="10"/>
      <c r="AT15" s="14"/>
      <c r="AU15" s="10"/>
      <c r="AV15" s="14"/>
      <c r="AW15" s="10" t="s">
        <v>303</v>
      </c>
      <c r="AX15" s="14">
        <v>100.73</v>
      </c>
      <c r="AY15" s="10" t="s">
        <v>304</v>
      </c>
      <c r="AZ15" s="14">
        <f>7.8+5</f>
        <v>12.8</v>
      </c>
      <c r="BA15" s="10"/>
      <c r="BB15" s="14"/>
      <c r="BC15" s="10"/>
      <c r="BD15" s="14"/>
      <c r="BE15" s="10"/>
      <c r="BF15" s="14"/>
      <c r="BG15" s="10"/>
      <c r="BH15" s="14"/>
      <c r="BI15" s="14"/>
      <c r="BJ15" s="14"/>
      <c r="BK15" s="14"/>
      <c r="BL15" s="14"/>
      <c r="BM15" s="12">
        <f t="shared" si="0"/>
        <v>246.53</v>
      </c>
      <c r="BN15" s="10" t="s">
        <v>39</v>
      </c>
    </row>
    <row r="16" s="31" customFormat="1" spans="1:66">
      <c r="A16" s="14" t="s">
        <v>42</v>
      </c>
      <c r="B16" s="47" t="s">
        <v>43</v>
      </c>
      <c r="C16" s="10"/>
      <c r="D16" s="14"/>
      <c r="E16" s="10"/>
      <c r="F16" s="14"/>
      <c r="G16" s="10" t="s">
        <v>83</v>
      </c>
      <c r="H16" s="14">
        <v>140</v>
      </c>
      <c r="I16" s="10"/>
      <c r="J16" s="14"/>
      <c r="K16" s="10"/>
      <c r="L16" s="14"/>
      <c r="M16" s="10"/>
      <c r="N16" s="14"/>
      <c r="O16" s="10"/>
      <c r="P16" s="14"/>
      <c r="Q16" s="10"/>
      <c r="R16" s="14"/>
      <c r="S16" s="10"/>
      <c r="T16" s="14"/>
      <c r="U16" s="10"/>
      <c r="V16" s="14"/>
      <c r="W16" s="10"/>
      <c r="X16" s="14"/>
      <c r="Y16" s="10"/>
      <c r="Z16" s="14"/>
      <c r="AA16" s="10"/>
      <c r="AB16" s="14"/>
      <c r="AC16" s="10"/>
      <c r="AD16" s="14"/>
      <c r="AE16" s="10"/>
      <c r="AF16" s="14"/>
      <c r="AG16" s="10" t="s">
        <v>83</v>
      </c>
      <c r="AH16" s="14">
        <v>66</v>
      </c>
      <c r="AI16" s="10"/>
      <c r="AJ16" s="14"/>
      <c r="AK16" s="10" t="s">
        <v>83</v>
      </c>
      <c r="AL16" s="14">
        <v>134</v>
      </c>
      <c r="AM16" s="10"/>
      <c r="AN16" s="14"/>
      <c r="AO16" s="10"/>
      <c r="AP16" s="14"/>
      <c r="AQ16" s="10"/>
      <c r="AR16" s="14"/>
      <c r="AS16" s="10"/>
      <c r="AT16" s="14"/>
      <c r="AU16" s="10"/>
      <c r="AV16" s="14"/>
      <c r="AW16" s="10"/>
      <c r="AX16" s="14"/>
      <c r="AY16" s="10"/>
      <c r="AZ16" s="14"/>
      <c r="BA16" s="10"/>
      <c r="BB16" s="14"/>
      <c r="BC16" s="10"/>
      <c r="BD16" s="14"/>
      <c r="BE16" s="10"/>
      <c r="BF16" s="14"/>
      <c r="BG16" s="10"/>
      <c r="BH16" s="14"/>
      <c r="BI16" s="10"/>
      <c r="BJ16" s="14"/>
      <c r="BK16" s="10"/>
      <c r="BL16" s="14"/>
      <c r="BM16" s="12">
        <f t="shared" si="0"/>
        <v>340</v>
      </c>
      <c r="BN16" s="10" t="s">
        <v>43</v>
      </c>
    </row>
    <row r="17" s="31" customFormat="1" ht="17" spans="1:66">
      <c r="A17" s="16" t="s">
        <v>45</v>
      </c>
      <c r="B17" s="14" t="s">
        <v>46</v>
      </c>
      <c r="C17" s="10" t="s">
        <v>305</v>
      </c>
      <c r="D17" s="14">
        <v>140</v>
      </c>
      <c r="E17" s="10"/>
      <c r="F17" s="14"/>
      <c r="G17" s="10"/>
      <c r="H17" s="14"/>
      <c r="I17" s="10"/>
      <c r="J17" s="14"/>
      <c r="K17" s="10"/>
      <c r="L17" s="14"/>
      <c r="M17" s="10"/>
      <c r="N17" s="14"/>
      <c r="O17" s="10"/>
      <c r="P17" s="14"/>
      <c r="Q17" s="10"/>
      <c r="R17" s="14"/>
      <c r="S17" s="10"/>
      <c r="T17" s="14"/>
      <c r="U17" s="10"/>
      <c r="V17" s="14"/>
      <c r="W17" s="10"/>
      <c r="X17" s="14"/>
      <c r="Y17" s="10"/>
      <c r="Z17" s="14"/>
      <c r="AA17" s="10"/>
      <c r="AB17" s="14"/>
      <c r="AC17" s="10"/>
      <c r="AD17" s="14"/>
      <c r="AE17" s="10"/>
      <c r="AF17" s="14"/>
      <c r="AG17" s="10"/>
      <c r="AH17" s="14"/>
      <c r="AI17" s="10" t="s">
        <v>180</v>
      </c>
      <c r="AJ17" s="14">
        <v>21</v>
      </c>
      <c r="AK17" s="10"/>
      <c r="AL17" s="14"/>
      <c r="AM17" s="10"/>
      <c r="AN17" s="14"/>
      <c r="AO17" s="10" t="s">
        <v>306</v>
      </c>
      <c r="AP17" s="14">
        <v>392</v>
      </c>
      <c r="AQ17" s="10"/>
      <c r="AR17" s="14"/>
      <c r="AS17" s="10"/>
      <c r="AT17" s="14"/>
      <c r="AU17" s="10"/>
      <c r="AV17" s="14"/>
      <c r="AW17" s="10"/>
      <c r="AX17" s="14"/>
      <c r="AY17" s="10"/>
      <c r="AZ17" s="14"/>
      <c r="BA17" s="10"/>
      <c r="BB17" s="14"/>
      <c r="BC17" s="10"/>
      <c r="BD17" s="14"/>
      <c r="BE17" s="10"/>
      <c r="BF17" s="14"/>
      <c r="BG17" s="10"/>
      <c r="BH17" s="14"/>
      <c r="BI17" s="10"/>
      <c r="BJ17" s="14"/>
      <c r="BK17" s="10"/>
      <c r="BL17" s="14"/>
      <c r="BM17" s="12">
        <f t="shared" si="0"/>
        <v>553</v>
      </c>
      <c r="BN17" s="10" t="s">
        <v>46</v>
      </c>
    </row>
    <row r="18" s="31" customFormat="1" spans="1:66">
      <c r="A18" s="14"/>
      <c r="B18" s="17" t="s">
        <v>47</v>
      </c>
      <c r="C18" s="14">
        <f>SUM(C3:D17)</f>
        <v>160.5</v>
      </c>
      <c r="D18" s="48"/>
      <c r="E18" s="14">
        <f>SUM(E3:F17)</f>
        <v>54.5</v>
      </c>
      <c r="F18" s="48"/>
      <c r="G18" s="14">
        <f>SUM(G3:H17)</f>
        <v>182.6</v>
      </c>
      <c r="H18" s="48"/>
      <c r="I18" s="14">
        <f>SUM(I3:J17)</f>
        <v>24</v>
      </c>
      <c r="J18" s="48"/>
      <c r="K18" s="14">
        <f>SUM(K3:L17)</f>
        <v>46</v>
      </c>
      <c r="L18" s="48"/>
      <c r="M18" s="14">
        <f>SUM(M3:N17)</f>
        <v>38</v>
      </c>
      <c r="N18" s="48"/>
      <c r="O18" s="14">
        <f>SUM(O3:P17)</f>
        <v>78</v>
      </c>
      <c r="P18" s="48"/>
      <c r="Q18" s="14">
        <f>SUM(Q3:R17)</f>
        <v>62</v>
      </c>
      <c r="R18" s="48"/>
      <c r="S18" s="14">
        <f>SUM(S3:T17)</f>
        <v>106</v>
      </c>
      <c r="T18" s="48"/>
      <c r="U18" s="14">
        <f>SUM(U3:V17)</f>
        <v>120</v>
      </c>
      <c r="V18" s="48"/>
      <c r="W18" s="14">
        <f>SUM(W3:X17)</f>
        <v>406.5</v>
      </c>
      <c r="X18" s="48"/>
      <c r="Y18" s="14">
        <f>SUM(Y3:Z17)</f>
        <v>43</v>
      </c>
      <c r="Z18" s="48"/>
      <c r="AA18" s="14">
        <f>SUM(AA3:AB17)</f>
        <v>133</v>
      </c>
      <c r="AB18" s="48"/>
      <c r="AC18" s="14">
        <f>SUM(AC3:AD17)</f>
        <v>47.8</v>
      </c>
      <c r="AD18" s="48"/>
      <c r="AE18" s="14">
        <f>SUM(AE3:AF17)</f>
        <v>148.1</v>
      </c>
      <c r="AF18" s="48"/>
      <c r="AG18" s="14">
        <f>SUM(AG3:AH17)</f>
        <v>291</v>
      </c>
      <c r="AH18" s="48"/>
      <c r="AI18" s="14">
        <f>SUM(AI3:AJ17)</f>
        <v>126</v>
      </c>
      <c r="AJ18" s="48"/>
      <c r="AK18" s="14">
        <f>SUM(AK3:AL17)</f>
        <v>241</v>
      </c>
      <c r="AL18" s="48"/>
      <c r="AM18" s="14">
        <f>SUM(AM3:AN17)</f>
        <v>102.5</v>
      </c>
      <c r="AN18" s="48"/>
      <c r="AO18" s="14">
        <f>SUM(AO3:AP17)</f>
        <v>526.5</v>
      </c>
      <c r="AP18" s="48"/>
      <c r="AQ18" s="14">
        <f>SUM(AQ3:AR17)</f>
        <v>26.5</v>
      </c>
      <c r="AR18" s="48"/>
      <c r="AS18" s="14">
        <f>SUM(AS3:AT17)</f>
        <v>62</v>
      </c>
      <c r="AT18" s="48"/>
      <c r="AU18" s="14">
        <f>SUM(AU3:AV17)</f>
        <v>69.55</v>
      </c>
      <c r="AV18" s="48"/>
      <c r="AW18" s="14">
        <f>SUM(AW3:AX17)</f>
        <v>120.73</v>
      </c>
      <c r="AX18" s="48"/>
      <c r="AY18" s="14">
        <f>SUM(AY3:AZ17)</f>
        <v>69.8</v>
      </c>
      <c r="AZ18" s="48"/>
      <c r="BA18" s="14">
        <f>SUM(BA3:BB17)</f>
        <v>52.5</v>
      </c>
      <c r="BB18" s="48"/>
      <c r="BC18" s="14">
        <f>SUM(BC3:BD17)</f>
        <v>45</v>
      </c>
      <c r="BD18" s="48"/>
      <c r="BE18" s="14">
        <f>SUM(BE3:BF17)</f>
        <v>25.5</v>
      </c>
      <c r="BF18" s="48"/>
      <c r="BG18" s="14">
        <f>SUM(BG3:BH17)</f>
        <v>90.8</v>
      </c>
      <c r="BH18" s="48"/>
      <c r="BI18" s="77"/>
      <c r="BJ18" s="77"/>
      <c r="BK18" s="14">
        <f>SUM(BK3:BL17)</f>
        <v>555.64</v>
      </c>
      <c r="BL18" s="48"/>
      <c r="BM18" s="21">
        <f t="shared" si="0"/>
        <v>4055.02</v>
      </c>
      <c r="BN18" s="17" t="s">
        <v>47</v>
      </c>
    </row>
    <row r="19" s="32" customFormat="1" spans="1:66">
      <c r="A19" s="10" t="s">
        <v>48</v>
      </c>
      <c r="B19" s="18" t="s">
        <v>49</v>
      </c>
      <c r="C19" s="49"/>
      <c r="D19" s="50"/>
      <c r="E19" s="49"/>
      <c r="F19" s="50"/>
      <c r="G19" s="49"/>
      <c r="H19" s="50"/>
      <c r="I19" s="49"/>
      <c r="J19" s="50"/>
      <c r="K19" s="49" t="s">
        <v>50</v>
      </c>
      <c r="L19" s="50">
        <v>450</v>
      </c>
      <c r="M19" s="49"/>
      <c r="N19" s="50"/>
      <c r="O19" s="49"/>
      <c r="P19" s="50"/>
      <c r="Q19" s="49"/>
      <c r="R19" s="50"/>
      <c r="S19" s="49"/>
      <c r="T19" s="50"/>
      <c r="U19" s="49"/>
      <c r="V19" s="50"/>
      <c r="Y19" s="49" t="s">
        <v>50</v>
      </c>
      <c r="Z19" s="50">
        <v>300</v>
      </c>
      <c r="AA19" s="49" t="s">
        <v>50</v>
      </c>
      <c r="AB19" s="50">
        <v>150</v>
      </c>
      <c r="AI19" s="49"/>
      <c r="AJ19" s="50"/>
      <c r="AK19" s="49"/>
      <c r="AL19" s="50"/>
      <c r="AM19" s="49" t="s">
        <v>50</v>
      </c>
      <c r="AN19" s="50">
        <v>300</v>
      </c>
      <c r="AO19" s="49" t="s">
        <v>50</v>
      </c>
      <c r="AP19" s="50">
        <v>150</v>
      </c>
      <c r="AQ19" s="49"/>
      <c r="AR19" s="50"/>
      <c r="AS19" s="49"/>
      <c r="AT19" s="50"/>
      <c r="AU19" s="49"/>
      <c r="AV19" s="50"/>
      <c r="AW19" s="49"/>
      <c r="AX19" s="50"/>
      <c r="AY19" s="49"/>
      <c r="AZ19" s="50"/>
      <c r="BA19" s="49" t="s">
        <v>50</v>
      </c>
      <c r="BB19" s="50">
        <v>300</v>
      </c>
      <c r="BC19" s="49" t="s">
        <v>50</v>
      </c>
      <c r="BD19" s="50">
        <v>150</v>
      </c>
      <c r="BE19" s="49"/>
      <c r="BF19" s="50"/>
      <c r="BG19" s="49"/>
      <c r="BH19" s="50"/>
      <c r="BI19" s="50"/>
      <c r="BJ19" s="50"/>
      <c r="BK19" s="50"/>
      <c r="BL19" s="50"/>
      <c r="BM19" s="12">
        <f t="shared" si="0"/>
        <v>1800</v>
      </c>
      <c r="BN19" s="18" t="s">
        <v>49</v>
      </c>
    </row>
    <row r="20" s="31" customFormat="1" spans="1:66">
      <c r="A20" s="51"/>
      <c r="B20" s="18" t="s">
        <v>51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49" t="s">
        <v>307</v>
      </c>
      <c r="X20" s="50">
        <v>205</v>
      </c>
      <c r="Y20" s="18"/>
      <c r="Z20" s="18"/>
      <c r="AA20" s="18"/>
      <c r="AB20" s="18"/>
      <c r="AC20" s="49" t="s">
        <v>308</v>
      </c>
      <c r="AD20" s="50">
        <v>1800</v>
      </c>
      <c r="AE20" s="49" t="s">
        <v>309</v>
      </c>
      <c r="AF20" s="50">
        <v>2150</v>
      </c>
      <c r="AG20" s="49" t="s">
        <v>310</v>
      </c>
      <c r="AH20" s="50">
        <v>100</v>
      </c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69" t="s">
        <v>311</v>
      </c>
      <c r="AT20" s="69">
        <v>50</v>
      </c>
      <c r="AU20" s="18"/>
      <c r="AV20" s="18"/>
      <c r="AW20" s="18"/>
      <c r="AX20" s="18"/>
      <c r="AY20" s="69"/>
      <c r="AZ20" s="69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2">
        <f t="shared" si="0"/>
        <v>4305</v>
      </c>
      <c r="BN20" s="18" t="s">
        <v>51</v>
      </c>
    </row>
    <row r="21" s="31" customFormat="1" spans="1:66">
      <c r="A21" s="51"/>
      <c r="B21" s="52" t="s">
        <v>220</v>
      </c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68"/>
      <c r="AP21" s="68"/>
      <c r="AQ21" s="68"/>
      <c r="AR21" s="10"/>
      <c r="AS21" s="10"/>
      <c r="AT21" s="10"/>
      <c r="AU21" s="10"/>
      <c r="AV21" s="10"/>
      <c r="AW21" s="10"/>
      <c r="AX21" s="10"/>
      <c r="AY21" s="69" t="s">
        <v>312</v>
      </c>
      <c r="AZ21" s="69">
        <v>610.57</v>
      </c>
      <c r="BA21" s="10"/>
      <c r="BB21" s="10"/>
      <c r="BC21" s="10"/>
      <c r="BD21" s="72"/>
      <c r="BE21" s="72"/>
      <c r="BF21" s="72"/>
      <c r="BG21" s="72"/>
      <c r="BH21" s="72"/>
      <c r="BI21" s="72"/>
      <c r="BJ21" s="72"/>
      <c r="BK21" s="72"/>
      <c r="BL21" s="72"/>
      <c r="BM21" s="12">
        <f t="shared" si="0"/>
        <v>610.57</v>
      </c>
      <c r="BN21" s="79" t="s">
        <v>220</v>
      </c>
    </row>
    <row r="22" s="31" customFormat="1" spans="1:66">
      <c r="A22" s="51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/>
      <c r="AP22"/>
      <c r="AQ22"/>
      <c r="AR22" s="51"/>
      <c r="AS22" s="51"/>
      <c r="AT22" s="51"/>
      <c r="AU22" s="51"/>
      <c r="AV22" s="51"/>
      <c r="AW22" s="51"/>
      <c r="AX22" s="51"/>
      <c r="AY22" s="70"/>
      <c r="AZ22" s="70"/>
      <c r="BA22" s="51"/>
      <c r="BB22" s="51"/>
      <c r="BC22" s="51"/>
      <c r="BD22" s="73"/>
      <c r="BE22" s="73"/>
      <c r="BF22" s="73"/>
      <c r="BG22" s="73"/>
      <c r="BH22" s="73"/>
      <c r="BI22" s="73"/>
      <c r="BJ22" s="73"/>
      <c r="BK22" s="73"/>
      <c r="BL22" s="73"/>
      <c r="BM22" s="73"/>
      <c r="BN22" s="53"/>
    </row>
    <row r="23" s="31" customFormat="1" spans="1:66">
      <c r="A23" s="51"/>
      <c r="B23" s="10" t="s">
        <v>239</v>
      </c>
      <c r="C23" s="20" t="s">
        <v>98</v>
      </c>
      <c r="D23" s="32"/>
      <c r="E23" s="32"/>
      <c r="F23" s="32"/>
      <c r="G23" s="32"/>
      <c r="H23" s="32"/>
      <c r="I23" s="32"/>
      <c r="J23"/>
      <c r="K23"/>
      <c r="L2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/>
    </row>
    <row r="24" s="31" customFormat="1" spans="1:66">
      <c r="A24" s="51"/>
      <c r="B24" s="54" t="s">
        <v>60</v>
      </c>
      <c r="C24" s="20">
        <v>2000</v>
      </c>
      <c r="D24" s="55"/>
      <c r="E24" s="32"/>
      <c r="F24" s="32"/>
      <c r="G24" s="32"/>
      <c r="H24" s="32"/>
      <c r="I24" s="32"/>
      <c r="J24"/>
      <c r="K24"/>
      <c r="L24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73"/>
      <c r="BE24" s="73"/>
      <c r="BF24" s="73"/>
      <c r="BG24" s="73"/>
      <c r="BH24" s="73"/>
      <c r="BI24" s="73"/>
      <c r="BJ24" s="73"/>
      <c r="BK24" s="73"/>
      <c r="BL24" s="73"/>
      <c r="BM24" s="73"/>
      <c r="BN24"/>
    </row>
    <row r="25" s="31" customFormat="1" spans="1:66">
      <c r="A25" s="51"/>
      <c r="B25" s="53"/>
      <c r="C25" s="53"/>
      <c r="D25" s="32"/>
      <c r="E25" s="32"/>
      <c r="F25" s="32"/>
      <c r="G25" s="32"/>
      <c r="H25" s="32"/>
      <c r="I25" s="32"/>
      <c r="J25"/>
      <c r="K25"/>
      <c r="L25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73"/>
      <c r="BE25" s="73"/>
      <c r="BF25" s="73"/>
      <c r="BG25" s="73"/>
      <c r="BH25" s="73"/>
      <c r="BI25" s="73"/>
      <c r="BJ25" s="73"/>
      <c r="BK25" s="73"/>
      <c r="BL25" s="73"/>
      <c r="BM25" s="73"/>
      <c r="BN25"/>
    </row>
    <row r="26" s="31" customFormat="1" spans="1:66">
      <c r="A26" s="51"/>
      <c r="B26" s="53"/>
      <c r="C26" s="53"/>
      <c r="D26" s="32"/>
      <c r="E26" s="32"/>
      <c r="F26" s="32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/>
    </row>
    <row r="27" s="31" customFormat="1" spans="1:66">
      <c r="A27" s="51"/>
      <c r="B27" s="53"/>
      <c r="C27" s="53"/>
      <c r="D27" s="51"/>
      <c r="E27" s="51"/>
      <c r="F27" s="51"/>
      <c r="G27" s="51"/>
      <c r="H27" s="51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/>
    </row>
    <row r="28" s="31" customFormat="1" spans="1:66">
      <c r="A28" s="51"/>
      <c r="B28" s="53"/>
      <c r="C28" s="53"/>
      <c r="D28" s="51"/>
      <c r="E28" s="51"/>
      <c r="F28" s="51"/>
      <c r="G28" s="51"/>
      <c r="H28" s="51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/>
    </row>
    <row r="29" s="31" customFormat="1" spans="1:66">
      <c r="A29" s="51"/>
      <c r="B29" s="51"/>
      <c r="C29" s="51"/>
      <c r="D29" s="51"/>
      <c r="E29" s="51"/>
      <c r="F29" s="51"/>
      <c r="G29" s="51"/>
      <c r="H29" s="51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/>
    </row>
    <row r="30" s="31" customFormat="1" spans="1:66">
      <c r="A30" s="51"/>
      <c r="D30" s="51"/>
      <c r="E30" s="51"/>
      <c r="F30" s="51"/>
      <c r="G30" s="51"/>
      <c r="H30" s="51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/>
    </row>
    <row r="31" s="31" customFormat="1" spans="1:66">
      <c r="A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3"/>
    </row>
    <row r="32" s="31" customFormat="1" spans="1:66">
      <c r="A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3"/>
    </row>
    <row r="33" s="31" customFormat="1" spans="1:66">
      <c r="A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3"/>
    </row>
    <row r="34" s="31" customFormat="1" spans="1:66">
      <c r="A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3"/>
    </row>
    <row r="35" s="31" customFormat="1" spans="1:66">
      <c r="A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</row>
  </sheetData>
  <mergeCells count="67">
    <mergeCell ref="C1:F1"/>
    <mergeCell ref="BA1:BB1"/>
    <mergeCell ref="BE1:BF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N18"/>
    <mergeCell ref="AO18:AP18"/>
    <mergeCell ref="AQ18:AR18"/>
    <mergeCell ref="AS18:AT18"/>
    <mergeCell ref="AU18:AV18"/>
    <mergeCell ref="AW18:AX18"/>
    <mergeCell ref="AY18:AZ18"/>
    <mergeCell ref="BA18:BB18"/>
    <mergeCell ref="BC18:BD18"/>
    <mergeCell ref="BE18:BF18"/>
    <mergeCell ref="BG18:BH18"/>
    <mergeCell ref="BK18:BL18"/>
    <mergeCell ref="A3:A6"/>
    <mergeCell ref="A7:A12"/>
    <mergeCell ref="BM3:BM6"/>
  </mergeCells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3:Q27"/>
  <sheetViews>
    <sheetView tabSelected="1" zoomScale="81" zoomScaleNormal="81" workbookViewId="0">
      <selection activeCell="A1" sqref="$A1:$XFD1048576"/>
    </sheetView>
  </sheetViews>
  <sheetFormatPr defaultColWidth="9.81730769230769" defaultRowHeight="16.8"/>
  <cols>
    <col min="1" max="1" width="13.7692307692308" customWidth="1"/>
    <col min="2" max="2" width="15.1538461538462" customWidth="1"/>
    <col min="3" max="9" width="13.7692307692308" customWidth="1"/>
    <col min="10" max="12" width="15.1538461538462" customWidth="1"/>
    <col min="13" max="14" width="13.0769230769231" customWidth="1"/>
    <col min="15" max="15" width="9.69230769230769" customWidth="1"/>
    <col min="16" max="16" width="8.69230769230769" customWidth="1"/>
    <col min="17" max="17" width="15.1538461538462" customWidth="1"/>
  </cols>
  <sheetData>
    <row r="3" ht="17.6" spans="1:17">
      <c r="A3" s="1"/>
      <c r="B3" s="2" t="s">
        <v>1</v>
      </c>
      <c r="C3" s="3">
        <v>43831</v>
      </c>
      <c r="D3" s="3">
        <v>43862</v>
      </c>
      <c r="E3" s="3">
        <v>43891</v>
      </c>
      <c r="F3" s="3">
        <v>43922</v>
      </c>
      <c r="G3" s="3">
        <v>43952</v>
      </c>
      <c r="H3" s="3">
        <v>43983</v>
      </c>
      <c r="I3" s="3">
        <v>44013</v>
      </c>
      <c r="J3" s="3">
        <v>44044</v>
      </c>
      <c r="K3" s="3">
        <v>44075</v>
      </c>
      <c r="L3" s="3">
        <v>44105</v>
      </c>
      <c r="M3" s="3">
        <v>44136</v>
      </c>
      <c r="N3" s="3">
        <v>44166</v>
      </c>
      <c r="O3" s="20" t="s">
        <v>3</v>
      </c>
      <c r="P3" s="20" t="s">
        <v>313</v>
      </c>
      <c r="Q3" s="2" t="s">
        <v>1</v>
      </c>
    </row>
    <row r="4" spans="1:17">
      <c r="A4" s="4"/>
      <c r="B4" s="5" t="s">
        <v>5</v>
      </c>
      <c r="C4" s="6">
        <v>1076.83</v>
      </c>
      <c r="D4" s="7">
        <v>159.3</v>
      </c>
      <c r="E4" s="7">
        <v>210.9</v>
      </c>
      <c r="F4" s="7">
        <v>11.5</v>
      </c>
      <c r="G4" s="12">
        <v>506.97</v>
      </c>
      <c r="H4" s="7">
        <v>150.46</v>
      </c>
      <c r="I4" s="24">
        <v>1506.06</v>
      </c>
      <c r="J4" s="7">
        <v>1223.98</v>
      </c>
      <c r="K4" s="7">
        <v>1092.2</v>
      </c>
      <c r="L4" s="23">
        <v>1533.1</v>
      </c>
      <c r="M4" s="28">
        <v>1436.17</v>
      </c>
      <c r="N4" s="28">
        <v>1611.13</v>
      </c>
      <c r="O4" s="20">
        <f>SUM(C4:N7)</f>
        <v>10518.6</v>
      </c>
      <c r="P4" s="30">
        <f>O4/12</f>
        <v>876.55</v>
      </c>
      <c r="Q4" s="5" t="s">
        <v>5</v>
      </c>
    </row>
    <row r="5" spans="1:17">
      <c r="A5" s="8" t="s">
        <v>10</v>
      </c>
      <c r="B5" s="5" t="s">
        <v>6</v>
      </c>
      <c r="C5" s="6"/>
      <c r="D5" s="7"/>
      <c r="E5" s="7"/>
      <c r="F5" s="7"/>
      <c r="G5" s="12"/>
      <c r="H5" s="7"/>
      <c r="I5" s="24"/>
      <c r="J5" s="7"/>
      <c r="K5" s="7"/>
      <c r="L5" s="23"/>
      <c r="M5" s="28"/>
      <c r="N5" s="28"/>
      <c r="O5" s="20"/>
      <c r="P5" s="30"/>
      <c r="Q5" s="5" t="s">
        <v>6</v>
      </c>
    </row>
    <row r="6" spans="1:17">
      <c r="A6" s="9"/>
      <c r="B6" s="5" t="s">
        <v>7</v>
      </c>
      <c r="C6" s="6"/>
      <c r="D6" s="7"/>
      <c r="E6" s="7"/>
      <c r="F6" s="7"/>
      <c r="G6" s="12"/>
      <c r="H6" s="7"/>
      <c r="I6" s="24"/>
      <c r="J6" s="7"/>
      <c r="K6" s="7"/>
      <c r="L6" s="23"/>
      <c r="M6" s="28"/>
      <c r="N6" s="28"/>
      <c r="O6" s="20"/>
      <c r="P6" s="30"/>
      <c r="Q6" s="5" t="s">
        <v>7</v>
      </c>
    </row>
    <row r="7" spans="1:17">
      <c r="A7" s="9"/>
      <c r="B7" s="10" t="s">
        <v>288</v>
      </c>
      <c r="C7" s="6"/>
      <c r="D7" s="7"/>
      <c r="E7" s="7"/>
      <c r="F7" s="7"/>
      <c r="G7" s="12"/>
      <c r="H7" s="7"/>
      <c r="I7" s="24"/>
      <c r="J7" s="7"/>
      <c r="K7" s="7"/>
      <c r="L7" s="23"/>
      <c r="M7" s="28"/>
      <c r="N7" s="28"/>
      <c r="O7" s="20"/>
      <c r="P7" s="30"/>
      <c r="Q7" s="10" t="s">
        <v>288</v>
      </c>
    </row>
    <row r="8" spans="1:17">
      <c r="A8" s="9"/>
      <c r="B8" s="10" t="s">
        <v>11</v>
      </c>
      <c r="C8" s="11">
        <v>1393.8</v>
      </c>
      <c r="D8" s="12">
        <v>0</v>
      </c>
      <c r="E8" s="12">
        <v>0</v>
      </c>
      <c r="F8" s="12">
        <v>0</v>
      </c>
      <c r="G8" s="12">
        <v>217.1</v>
      </c>
      <c r="H8" s="7">
        <v>34.5</v>
      </c>
      <c r="I8" s="25">
        <v>1217.84</v>
      </c>
      <c r="J8" s="12">
        <v>584.46</v>
      </c>
      <c r="K8" s="12">
        <v>212.47</v>
      </c>
      <c r="L8" s="7">
        <v>546.75</v>
      </c>
      <c r="M8" s="12">
        <v>145</v>
      </c>
      <c r="N8" s="12">
        <v>393.29</v>
      </c>
      <c r="O8" s="20">
        <f>SUM(C8:N8)</f>
        <v>4745.21</v>
      </c>
      <c r="P8" s="30">
        <f>O8/12</f>
        <v>395.434166666667</v>
      </c>
      <c r="Q8" s="10" t="s">
        <v>11</v>
      </c>
    </row>
    <row r="9" spans="1:17">
      <c r="A9" s="9"/>
      <c r="B9" s="10" t="s">
        <v>15</v>
      </c>
      <c r="C9" s="13">
        <v>0</v>
      </c>
      <c r="D9" s="12">
        <v>100</v>
      </c>
      <c r="E9" s="12"/>
      <c r="F9" s="12">
        <v>100</v>
      </c>
      <c r="G9" s="12">
        <v>386</v>
      </c>
      <c r="H9" s="7">
        <v>300</v>
      </c>
      <c r="I9" s="26">
        <v>0</v>
      </c>
      <c r="J9" s="12">
        <v>0</v>
      </c>
      <c r="K9" s="12">
        <v>2550</v>
      </c>
      <c r="L9" s="7">
        <v>0</v>
      </c>
      <c r="M9" s="12">
        <v>200</v>
      </c>
      <c r="N9" s="12">
        <v>52.1</v>
      </c>
      <c r="O9" s="20">
        <f>SUM(C9:N9)</f>
        <v>3688.1</v>
      </c>
      <c r="P9" s="30">
        <f>O9/12</f>
        <v>307.341666666667</v>
      </c>
      <c r="Q9" s="10" t="s">
        <v>15</v>
      </c>
    </row>
    <row r="10" spans="1:17">
      <c r="A10" s="9"/>
      <c r="B10" s="10" t="s">
        <v>227</v>
      </c>
      <c r="C10" s="11">
        <v>433.8</v>
      </c>
      <c r="D10" s="12">
        <v>13.21</v>
      </c>
      <c r="E10" s="12">
        <v>65</v>
      </c>
      <c r="F10" s="12">
        <v>48.98</v>
      </c>
      <c r="G10" s="21">
        <v>0</v>
      </c>
      <c r="H10" s="22">
        <v>217.44</v>
      </c>
      <c r="I10" s="27">
        <v>0</v>
      </c>
      <c r="J10" s="28">
        <v>353.65</v>
      </c>
      <c r="K10" s="21">
        <v>129</v>
      </c>
      <c r="L10" s="7">
        <v>195.05</v>
      </c>
      <c r="M10" s="12">
        <v>76.8</v>
      </c>
      <c r="N10" s="28">
        <f>344.1-52.1</f>
        <v>292</v>
      </c>
      <c r="O10" s="20">
        <f>SUM(C10:N10)</f>
        <v>1824.93</v>
      </c>
      <c r="P10" s="30">
        <f t="shared" ref="P10:P21" si="0">O10/12</f>
        <v>152.0775</v>
      </c>
      <c r="Q10" s="10" t="s">
        <v>227</v>
      </c>
    </row>
    <row r="11" spans="1:17">
      <c r="A11" s="14" t="s">
        <v>30</v>
      </c>
      <c r="B11" s="10" t="s">
        <v>21</v>
      </c>
      <c r="C11" s="15">
        <v>64.5</v>
      </c>
      <c r="D11" s="12">
        <v>30.8</v>
      </c>
      <c r="E11" s="12">
        <v>86.8</v>
      </c>
      <c r="F11" s="12">
        <v>87.8</v>
      </c>
      <c r="G11" s="12">
        <v>137.69</v>
      </c>
      <c r="H11" s="7">
        <v>160</v>
      </c>
      <c r="I11" s="27">
        <v>128.8</v>
      </c>
      <c r="J11" s="12">
        <v>450.5</v>
      </c>
      <c r="K11" s="12">
        <v>25</v>
      </c>
      <c r="L11" s="7">
        <v>48</v>
      </c>
      <c r="M11" s="12">
        <v>6</v>
      </c>
      <c r="N11" s="12">
        <v>24</v>
      </c>
      <c r="O11" s="20">
        <f t="shared" ref="O10:O22" si="1">SUM(C11:N11)</f>
        <v>1249.89</v>
      </c>
      <c r="P11" s="30">
        <f t="shared" si="0"/>
        <v>104.1575</v>
      </c>
      <c r="Q11" s="10" t="s">
        <v>21</v>
      </c>
    </row>
    <row r="12" spans="1:17">
      <c r="A12" s="14" t="s">
        <v>35</v>
      </c>
      <c r="B12" s="10" t="s">
        <v>26</v>
      </c>
      <c r="C12" s="15">
        <v>741</v>
      </c>
      <c r="D12" s="12">
        <v>0</v>
      </c>
      <c r="E12" s="12">
        <v>0</v>
      </c>
      <c r="F12" s="12">
        <v>31</v>
      </c>
      <c r="G12" s="12">
        <v>57</v>
      </c>
      <c r="H12" s="23">
        <v>681.5</v>
      </c>
      <c r="I12" s="25">
        <v>696</v>
      </c>
      <c r="J12" s="28">
        <v>2841</v>
      </c>
      <c r="K12" s="12">
        <v>40</v>
      </c>
      <c r="L12" s="23">
        <v>440</v>
      </c>
      <c r="M12" s="12">
        <v>0</v>
      </c>
      <c r="N12" s="28">
        <v>530</v>
      </c>
      <c r="O12" s="20">
        <f t="shared" si="1"/>
        <v>6057.5</v>
      </c>
      <c r="P12" s="30">
        <f t="shared" si="0"/>
        <v>504.791666666667</v>
      </c>
      <c r="Q12" s="10" t="s">
        <v>26</v>
      </c>
    </row>
    <row r="13" spans="1:17">
      <c r="A13" s="14" t="s">
        <v>38</v>
      </c>
      <c r="B13" s="10" t="s">
        <v>29</v>
      </c>
      <c r="C13" s="15">
        <v>257.73</v>
      </c>
      <c r="D13" s="12">
        <v>0</v>
      </c>
      <c r="E13" s="12">
        <v>0</v>
      </c>
      <c r="F13" s="12">
        <v>0</v>
      </c>
      <c r="G13" s="12">
        <v>244.4</v>
      </c>
      <c r="H13" s="7">
        <v>0</v>
      </c>
      <c r="I13" s="27">
        <v>599.5</v>
      </c>
      <c r="J13" s="12">
        <v>1649.9</v>
      </c>
      <c r="K13" s="12">
        <v>0</v>
      </c>
      <c r="L13" s="7">
        <v>268</v>
      </c>
      <c r="M13" s="12">
        <v>0</v>
      </c>
      <c r="N13" s="12">
        <v>208</v>
      </c>
      <c r="O13" s="20">
        <f t="shared" si="1"/>
        <v>3227.53</v>
      </c>
      <c r="P13" s="30">
        <f t="shared" si="0"/>
        <v>268.960833333333</v>
      </c>
      <c r="Q13" s="10" t="s">
        <v>29</v>
      </c>
    </row>
    <row r="14" spans="1:17">
      <c r="A14" s="14" t="s">
        <v>42</v>
      </c>
      <c r="B14" s="10" t="s">
        <v>31</v>
      </c>
      <c r="C14" s="6">
        <v>83.99</v>
      </c>
      <c r="D14" s="7">
        <v>123</v>
      </c>
      <c r="E14" s="7">
        <v>127.9</v>
      </c>
      <c r="F14" s="7">
        <v>56.98</v>
      </c>
      <c r="G14" s="12">
        <v>243</v>
      </c>
      <c r="H14" s="7">
        <v>150.6</v>
      </c>
      <c r="I14" s="29">
        <v>279.63</v>
      </c>
      <c r="J14" s="7">
        <v>608.4</v>
      </c>
      <c r="K14" s="7">
        <v>15</v>
      </c>
      <c r="L14" s="7">
        <v>88</v>
      </c>
      <c r="M14" s="12">
        <v>555</v>
      </c>
      <c r="N14" s="12">
        <v>142</v>
      </c>
      <c r="O14" s="20">
        <f t="shared" si="1"/>
        <v>2473.5</v>
      </c>
      <c r="P14" s="30">
        <f t="shared" si="0"/>
        <v>206.125</v>
      </c>
      <c r="Q14" s="10" t="s">
        <v>31</v>
      </c>
    </row>
    <row r="15" s="31" customFormat="1" ht="17" spans="1:17">
      <c r="A15" s="16" t="s">
        <v>45</v>
      </c>
      <c r="B15" s="10" t="s">
        <v>36</v>
      </c>
      <c r="C15" s="6">
        <v>229.6</v>
      </c>
      <c r="D15" s="7">
        <v>0</v>
      </c>
      <c r="E15" s="7">
        <v>0</v>
      </c>
      <c r="F15" s="7">
        <v>22.44</v>
      </c>
      <c r="G15" s="12">
        <v>659.89</v>
      </c>
      <c r="H15" s="7">
        <v>0</v>
      </c>
      <c r="I15" s="29">
        <v>0</v>
      </c>
      <c r="J15" s="7">
        <v>200</v>
      </c>
      <c r="K15" s="7">
        <v>272</v>
      </c>
      <c r="L15" s="7">
        <v>506.9</v>
      </c>
      <c r="M15" s="28">
        <v>1389</v>
      </c>
      <c r="N15" s="12">
        <v>0</v>
      </c>
      <c r="O15" s="20">
        <f t="shared" si="1"/>
        <v>3279.83</v>
      </c>
      <c r="P15" s="30">
        <f t="shared" si="0"/>
        <v>273.319166666667</v>
      </c>
      <c r="Q15" s="10" t="s">
        <v>36</v>
      </c>
    </row>
    <row r="16" spans="1:17">
      <c r="A16" s="14"/>
      <c r="B16" s="10" t="s">
        <v>39</v>
      </c>
      <c r="C16" s="6">
        <v>1734</v>
      </c>
      <c r="D16" s="7">
        <v>743.05</v>
      </c>
      <c r="E16" s="7">
        <v>49.6</v>
      </c>
      <c r="F16" s="7">
        <v>234.72</v>
      </c>
      <c r="G16" s="12">
        <v>43.21</v>
      </c>
      <c r="H16" s="7">
        <v>1325.94</v>
      </c>
      <c r="I16" s="29">
        <v>157.32</v>
      </c>
      <c r="J16" s="7">
        <v>911.5</v>
      </c>
      <c r="K16" s="23">
        <v>7769</v>
      </c>
      <c r="L16" s="7">
        <v>866</v>
      </c>
      <c r="M16" s="28">
        <v>4390.7</v>
      </c>
      <c r="N16" s="12">
        <v>246.53</v>
      </c>
      <c r="O16" s="20">
        <f t="shared" si="1"/>
        <v>18471.57</v>
      </c>
      <c r="P16" s="30">
        <f t="shared" si="0"/>
        <v>1539.2975</v>
      </c>
      <c r="Q16" s="10" t="s">
        <v>39</v>
      </c>
    </row>
    <row r="17" spans="1:17">
      <c r="A17" s="14"/>
      <c r="B17" s="10" t="s">
        <v>43</v>
      </c>
      <c r="C17" s="6">
        <v>1.45</v>
      </c>
      <c r="D17" s="7">
        <v>67.36</v>
      </c>
      <c r="E17" s="7">
        <v>131.2</v>
      </c>
      <c r="F17" s="7">
        <v>0</v>
      </c>
      <c r="G17" s="12">
        <v>65.2</v>
      </c>
      <c r="H17" s="7">
        <v>518</v>
      </c>
      <c r="I17" s="29">
        <v>0</v>
      </c>
      <c r="J17" s="7">
        <v>104.3</v>
      </c>
      <c r="K17" s="7">
        <v>138.4</v>
      </c>
      <c r="L17" s="7">
        <v>2817</v>
      </c>
      <c r="M17" s="12">
        <v>260</v>
      </c>
      <c r="N17" s="12">
        <v>340</v>
      </c>
      <c r="O17" s="20">
        <f t="shared" si="1"/>
        <v>4442.91</v>
      </c>
      <c r="P17" s="30">
        <f t="shared" si="0"/>
        <v>370.2425</v>
      </c>
      <c r="Q17" s="10" t="s">
        <v>43</v>
      </c>
    </row>
    <row r="18" spans="1:17">
      <c r="A18" s="10" t="s">
        <v>99</v>
      </c>
      <c r="B18" s="10" t="s">
        <v>46</v>
      </c>
      <c r="C18" s="6">
        <v>0</v>
      </c>
      <c r="D18" s="7">
        <v>0</v>
      </c>
      <c r="E18" s="7">
        <v>0</v>
      </c>
      <c r="F18" s="7">
        <v>0</v>
      </c>
      <c r="G18" s="12">
        <v>0</v>
      </c>
      <c r="H18" s="7">
        <v>0</v>
      </c>
      <c r="I18" s="29">
        <v>0</v>
      </c>
      <c r="J18" s="7">
        <v>0</v>
      </c>
      <c r="K18" s="7">
        <v>0</v>
      </c>
      <c r="L18" s="7">
        <v>0</v>
      </c>
      <c r="M18" s="12">
        <v>2000</v>
      </c>
      <c r="N18" s="12">
        <v>553</v>
      </c>
      <c r="O18" s="20">
        <f t="shared" si="1"/>
        <v>2553</v>
      </c>
      <c r="P18" s="30">
        <f t="shared" si="0"/>
        <v>212.75</v>
      </c>
      <c r="Q18" s="10" t="s">
        <v>46</v>
      </c>
    </row>
    <row r="19" spans="2:17">
      <c r="B19" s="17" t="s">
        <v>47</v>
      </c>
      <c r="C19" s="6">
        <v>6016.7</v>
      </c>
      <c r="D19" s="7">
        <v>1236.72</v>
      </c>
      <c r="E19" s="7">
        <v>671.4</v>
      </c>
      <c r="F19" s="7">
        <v>593.42</v>
      </c>
      <c r="G19" s="12">
        <v>2560.46</v>
      </c>
      <c r="H19" s="7">
        <v>3538.44</v>
      </c>
      <c r="I19" s="29">
        <v>4585.15</v>
      </c>
      <c r="J19" s="7">
        <v>8927.69</v>
      </c>
      <c r="K19" s="22">
        <v>12243.07</v>
      </c>
      <c r="L19" s="22">
        <v>7308.8</v>
      </c>
      <c r="M19" s="22">
        <v>10458.67</v>
      </c>
      <c r="N19" s="21">
        <v>4055.02</v>
      </c>
      <c r="O19" s="19">
        <f t="shared" si="1"/>
        <v>62195.54</v>
      </c>
      <c r="P19" s="30">
        <f t="shared" si="0"/>
        <v>5182.96166666667</v>
      </c>
      <c r="Q19" s="17" t="s">
        <v>47</v>
      </c>
    </row>
    <row r="20" spans="2:17">
      <c r="B20" s="17" t="s">
        <v>314</v>
      </c>
      <c r="C20" s="6">
        <v>3700</v>
      </c>
      <c r="D20" s="6">
        <v>1000</v>
      </c>
      <c r="E20" s="6">
        <v>1200</v>
      </c>
      <c r="F20" s="6">
        <v>300</v>
      </c>
      <c r="G20" s="6">
        <v>2700</v>
      </c>
      <c r="H20" s="6">
        <v>1785</v>
      </c>
      <c r="I20" s="6">
        <v>5700</v>
      </c>
      <c r="J20" s="6">
        <v>15100</v>
      </c>
      <c r="K20" s="6">
        <v>2600</v>
      </c>
      <c r="L20" s="6">
        <v>2200</v>
      </c>
      <c r="M20" s="6">
        <v>8200</v>
      </c>
      <c r="N20" s="6">
        <v>2000</v>
      </c>
      <c r="O20" s="6">
        <f t="shared" si="1"/>
        <v>46485</v>
      </c>
      <c r="P20" s="6">
        <f t="shared" si="0"/>
        <v>3873.75</v>
      </c>
      <c r="Q20" s="17" t="s">
        <v>314</v>
      </c>
    </row>
    <row r="21" spans="2:17">
      <c r="B21" s="18" t="s">
        <v>49</v>
      </c>
      <c r="C21" s="6">
        <v>240</v>
      </c>
      <c r="D21" s="7">
        <v>0</v>
      </c>
      <c r="E21" s="7">
        <v>0</v>
      </c>
      <c r="F21" s="7">
        <v>0</v>
      </c>
      <c r="G21" s="12">
        <v>0</v>
      </c>
      <c r="H21" s="7">
        <v>0</v>
      </c>
      <c r="I21" s="29">
        <v>0</v>
      </c>
      <c r="J21" s="7">
        <v>0</v>
      </c>
      <c r="K21" s="7">
        <v>560</v>
      </c>
      <c r="L21" s="7">
        <v>1550</v>
      </c>
      <c r="M21" s="7">
        <v>990</v>
      </c>
      <c r="N21" s="12">
        <v>1800</v>
      </c>
      <c r="O21" s="19">
        <f>SUM(C21:N21)</f>
        <v>5140</v>
      </c>
      <c r="P21" s="30">
        <f>O21/12</f>
        <v>428.333333333333</v>
      </c>
      <c r="Q21" s="18" t="s">
        <v>49</v>
      </c>
    </row>
    <row r="22" spans="2:17">
      <c r="B22" s="19" t="s">
        <v>51</v>
      </c>
      <c r="C22" s="10">
        <v>0</v>
      </c>
      <c r="D22" s="7">
        <v>0</v>
      </c>
      <c r="E22" s="7">
        <v>2200</v>
      </c>
      <c r="F22" s="7">
        <v>0</v>
      </c>
      <c r="G22" s="12">
        <v>0</v>
      </c>
      <c r="H22" s="7">
        <v>0</v>
      </c>
      <c r="I22" s="29">
        <v>0</v>
      </c>
      <c r="J22" s="7">
        <v>0</v>
      </c>
      <c r="K22" s="7">
        <v>0</v>
      </c>
      <c r="L22" s="7">
        <v>800</v>
      </c>
      <c r="M22" s="7">
        <v>0</v>
      </c>
      <c r="N22" s="12">
        <v>4305</v>
      </c>
      <c r="O22" s="19">
        <f>SUM(C22:N22)</f>
        <v>7305</v>
      </c>
      <c r="P22" s="30">
        <f>O22/12</f>
        <v>608.75</v>
      </c>
      <c r="Q22" s="19" t="s">
        <v>51</v>
      </c>
    </row>
    <row r="23" spans="2:17">
      <c r="B23" s="19" t="s">
        <v>315</v>
      </c>
      <c r="C23" s="20"/>
      <c r="D23" s="20"/>
      <c r="E23" s="20"/>
      <c r="F23" s="20"/>
      <c r="G23" s="20"/>
      <c r="H23" s="20"/>
      <c r="I23" s="20"/>
      <c r="J23" s="20">
        <v>2300</v>
      </c>
      <c r="K23" s="20">
        <v>350</v>
      </c>
      <c r="L23" s="20"/>
      <c r="M23" s="20"/>
      <c r="N23" s="12">
        <v>610.57</v>
      </c>
      <c r="O23" s="19">
        <f>SUM(C23:N23)</f>
        <v>3260.57</v>
      </c>
      <c r="P23" s="20" t="s">
        <v>59</v>
      </c>
      <c r="Q23" s="19" t="s">
        <v>315</v>
      </c>
    </row>
    <row r="27" spans="8:16">
      <c r="H27" s="20" t="s">
        <v>316</v>
      </c>
      <c r="I27" s="20"/>
      <c r="J27" s="20"/>
      <c r="K27" s="20"/>
      <c r="L27" s="20"/>
      <c r="M27" s="20"/>
      <c r="N27" s="20"/>
      <c r="O27" s="20"/>
      <c r="P27" s="20"/>
    </row>
  </sheetData>
  <mergeCells count="16">
    <mergeCell ref="H27:P27"/>
    <mergeCell ref="A5:A10"/>
    <mergeCell ref="C4:C7"/>
    <mergeCell ref="D4:D7"/>
    <mergeCell ref="E4:E7"/>
    <mergeCell ref="F4:F7"/>
    <mergeCell ref="G4:G7"/>
    <mergeCell ref="H4:H7"/>
    <mergeCell ref="I4:I7"/>
    <mergeCell ref="J4:J7"/>
    <mergeCell ref="K4:K7"/>
    <mergeCell ref="L4:L7"/>
    <mergeCell ref="M4:M7"/>
    <mergeCell ref="N4:N7"/>
    <mergeCell ref="O4:O7"/>
    <mergeCell ref="P4:P7"/>
  </mergeCells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WWO_openplatform_20200924161515-8e733aaadf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一月</vt:lpstr>
      <vt:lpstr>二月</vt:lpstr>
      <vt:lpstr>三月</vt:lpstr>
      <vt:lpstr>四月</vt:lpstr>
      <vt:lpstr>五月</vt:lpstr>
      <vt:lpstr>六月 </vt:lpstr>
      <vt:lpstr>七月</vt:lpstr>
      <vt:lpstr>八月</vt:lpstr>
      <vt:lpstr>九月</vt:lpstr>
      <vt:lpstr>十月</vt:lpstr>
      <vt:lpstr>十一月</vt:lpstr>
      <vt:lpstr>十二月</vt:lpstr>
      <vt:lpstr>年度总结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19742</dc:creator>
  <cp:lastModifiedBy>mimiPhone</cp:lastModifiedBy>
  <dcterms:created xsi:type="dcterms:W3CDTF">2019-11-09T04:35:00Z</dcterms:created>
  <dcterms:modified xsi:type="dcterms:W3CDTF">2021-12-24T17:49:39Z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2052-3.3.1.5149</vt:lpwstr>
  </property>
  <property fmtid="{D5CDD505-2E9C-101B-9397-08002B2CF9AE}" pid="3" name="KSOReadingLayout">
    <vt:bool>false</vt:bool>
  </property>
</Properties>
</file>