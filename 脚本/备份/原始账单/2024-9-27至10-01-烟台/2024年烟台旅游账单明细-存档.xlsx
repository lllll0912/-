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80" windowHeight="13160" activeTab="1"/>
  </bookViews>
  <sheets>
    <sheet name="standard" sheetId="1" r:id="rId1"/>
    <sheet name="pivot" sheetId="3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<sst xmlns="http://schemas.openxmlformats.org/spreadsheetml/2006/main" count="264" uniqueCount="52">
  <si>
    <t>日期</t>
  </si>
  <si>
    <t>金额</t>
  </si>
  <si>
    <t>类型明细</t>
  </si>
  <si>
    <t>日记</t>
  </si>
  <si>
    <t>类型</t>
  </si>
  <si>
    <t>来源</t>
  </si>
  <si>
    <t>2024/10/01</t>
  </si>
  <si>
    <t>轮渡</t>
  </si>
  <si>
    <t>郭川东生日，返程，早上肚子疼死了，早上没赶上我的榴莲蛋糕，轮渡上船要提前半小时，下船需要40分钟，在船上餐厅上看海看电影，甲板风太大了，大连港新港下船后有接驳车，可以去大连北站然后打车去买榴莲千层，然后去机场</t>
  </si>
  <si>
    <t>交通</t>
  </si>
  <si>
    <t>周富豪</t>
  </si>
  <si>
    <t>甜点</t>
  </si>
  <si>
    <t>餐饮</t>
  </si>
  <si>
    <t>打车地铁</t>
  </si>
  <si>
    <t>泡面</t>
  </si>
  <si>
    <t>2024/09/30</t>
  </si>
  <si>
    <t>赶海，在黄海明珠，下午下了大雨，晚上点外卖吃麻辣鸡</t>
  </si>
  <si>
    <t>午餐</t>
  </si>
  <si>
    <t>水</t>
  </si>
  <si>
    <t>酒店</t>
  </si>
  <si>
    <t>2024/09/29</t>
  </si>
  <si>
    <t>养马岛好玩，下午在养马岛入口处买了新鲜海鲜，两个梭子蟹才45块钱，40块钱一斤！然后找了海鲜加工，35块钱，加工了两个梭子蟹，4个扇贝，4个猫眼螺，4个鲍鱼，10个扇贝，晚上吃牟平的荣发烧烤，朵雅酒店真不错</t>
  </si>
  <si>
    <t>晚餐</t>
  </si>
  <si>
    <t>西瓜</t>
  </si>
  <si>
    <t>2024/09/28</t>
  </si>
  <si>
    <t>李昌朔生日，中午吃清泉宾馆，下午骑车去金沙滩，晚上吃南洪街的麻辣鸡和灌汤包，晚上外卖了内存卡</t>
  </si>
  <si>
    <t>铲子</t>
  </si>
  <si>
    <t>其他</t>
  </si>
  <si>
    <t>超市</t>
  </si>
  <si>
    <t>榴莲</t>
  </si>
  <si>
    <t>内存卡</t>
  </si>
  <si>
    <t>2024/09/27</t>
  </si>
  <si>
    <t>周五，去烟台，看完红莲馆事件，开题挂了，准备10-24的二辩，晚上租电动车后</t>
  </si>
  <si>
    <t>情趣内衣</t>
  </si>
  <si>
    <t>饮料</t>
  </si>
  <si>
    <t>gay礼物</t>
  </si>
  <si>
    <t>打车</t>
  </si>
  <si>
    <t>早餐</t>
  </si>
  <si>
    <t>张悦</t>
  </si>
  <si>
    <t>地铁</t>
  </si>
  <si>
    <t>腾讯会员＋电影</t>
  </si>
  <si>
    <t>机票</t>
  </si>
  <si>
    <t>西瓜汁＋炒酸奶</t>
  </si>
  <si>
    <t>葡萄</t>
  </si>
  <si>
    <t>海鲜加工费</t>
  </si>
  <si>
    <t>海鲜</t>
  </si>
  <si>
    <t>生煎包</t>
  </si>
  <si>
    <t>高铁</t>
  </si>
  <si>
    <t>电动车租赁</t>
  </si>
  <si>
    <t>烧烤</t>
  </si>
  <si>
    <t>求和项:金额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</si>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</sst>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68.765462963" refreshedBy="luoziweiyu" recordCount="44">
  <cacheSource type="worksheet">
    <worksheetSource ref="A1:F45" sheet="standard"/>
  </cacheSource>
  <cacheFields count="6">
    <cacheField name="日期" numFmtId="0">
      <sharedItems count="5">
        <s v="2024/10/01"/>
        <s v="2024/09/30"/>
        <s v="2024/09/29"/>
        <s v="2024/09/28"/>
        <s v="2024/09/27"/>
      </sharedItems>
    </cacheField>
    <cacheField name="金额" numFmtId="0">
      <sharedItems containsSemiMixedTypes="0" containsString="0" containsNumber="1" minValue="4" maxValue="915" count="40">
        <n v="512"/>
        <n v="52.5"/>
        <n v="61"/>
        <n v="34"/>
        <n v="45.8"/>
        <n v="218"/>
        <n v="16"/>
        <n v="167.6"/>
        <n v="12"/>
        <n v="228"/>
        <n v="8.5"/>
        <n v="156.7"/>
        <n v="59"/>
        <n v="20"/>
        <n v="168"/>
        <n v="93.5"/>
        <n v="64.5"/>
        <n v="95"/>
        <n v="72.6"/>
        <n v="272"/>
        <n v="153.86"/>
        <n v="41.39"/>
        <n v="35"/>
        <n v="9.9"/>
        <n v="36"/>
        <n v="62"/>
        <n v="28"/>
        <n v="24"/>
        <n v="915"/>
        <n v="244"/>
        <n v="98"/>
        <n v="44"/>
        <n v="100"/>
        <n v="7"/>
        <n v="18"/>
        <n v="4"/>
        <n v="784"/>
        <n v="177"/>
        <n v="151"/>
        <n v="15"/>
      </sharedItems>
    </cacheField>
    <cacheField name="类型明细" numFmtId="0">
      <sharedItems count="29">
        <s v="轮渡"/>
        <s v="甜点"/>
        <s v="打车地铁"/>
        <s v="泡面"/>
        <s v="午餐"/>
        <s v="水"/>
        <s v="酒店"/>
        <s v="晚餐"/>
        <s v="西瓜"/>
        <s v="铲子"/>
        <s v="超市"/>
        <s v="榴莲"/>
        <s v="内存卡"/>
        <s v="情趣内衣"/>
        <s v="饮料"/>
        <s v="gay礼物"/>
        <s v="打车"/>
        <s v="早餐"/>
        <s v="地铁"/>
        <s v="腾讯会员＋电影"/>
        <s v="机票"/>
        <s v="西瓜汁＋炒酸奶"/>
        <s v="葡萄"/>
        <s v="海鲜加工费"/>
        <s v="海鲜"/>
        <s v="生煎包"/>
        <s v="高铁"/>
        <s v="电动车租赁"/>
        <s v="烧烤"/>
      </sharedItems>
    </cacheField>
    <cacheField name="日记" numFmtId="0">
      <sharedItems count="5">
        <s v="郭川东生日，返程，早上肚子疼死了，早上没赶上我的榴莲蛋糕，轮渡上船要提前半小时，下船需要40分钟，在船上餐厅上看海看电影，甲板风太大了，大连港新港下船后有接驳车，可以去大连北站然后打车去买榴莲千层，然后去机场"/>
        <s v="赶海，在黄海明珠，下午下了大雨，晚上点外卖吃麻辣鸡"/>
        <s v="养马岛好玩，下午在养马岛入口处买了新鲜海鲜，两个梭子蟹才45块钱，40块钱一斤！然后找了海鲜加工，35块钱，加工了两个梭子蟹，4个扇贝，4个猫眼螺，4个鲍鱼，10个扇贝，晚上吃牟平的荣发烧烤，朵雅酒店真不错"/>
        <s v="李昌朔生日，中午吃清泉宾馆，下午骑车去金沙滩，晚上吃南洪街的麻辣鸡和灌汤包，晚上外卖了内存卡"/>
        <s v="周五，去烟台，看完红莲馆事件，开题挂了，准备10-24的二辩，晚上租电动车后"/>
      </sharedItems>
    </cacheField>
    <cacheField name="类型" numFmtId="0">
      <sharedItems count="5">
        <s v="交通"/>
        <s v="餐饮"/>
        <s v="酒店"/>
        <s v="其他"/>
        <s v="社交" u="1"/>
      </sharedItems>
    </cacheField>
    <cacheField name="来源" numFmtId="0">
      <sharedItems count="2">
        <s v="周富豪"/>
        <s v="张悦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">
  <r>
    <x v="0"/>
    <x v="0"/>
    <x v="0"/>
    <x v="0"/>
    <x v="0"/>
    <x v="0"/>
  </r>
  <r>
    <x v="0"/>
    <x v="1"/>
    <x v="1"/>
    <x v="0"/>
    <x v="1"/>
    <x v="0"/>
  </r>
  <r>
    <x v="0"/>
    <x v="2"/>
    <x v="2"/>
    <x v="0"/>
    <x v="0"/>
    <x v="0"/>
  </r>
  <r>
    <x v="0"/>
    <x v="3"/>
    <x v="3"/>
    <x v="0"/>
    <x v="1"/>
    <x v="0"/>
  </r>
  <r>
    <x v="1"/>
    <x v="4"/>
    <x v="1"/>
    <x v="1"/>
    <x v="1"/>
    <x v="0"/>
  </r>
  <r>
    <x v="1"/>
    <x v="5"/>
    <x v="4"/>
    <x v="1"/>
    <x v="1"/>
    <x v="0"/>
  </r>
  <r>
    <x v="1"/>
    <x v="6"/>
    <x v="5"/>
    <x v="1"/>
    <x v="1"/>
    <x v="0"/>
  </r>
  <r>
    <x v="1"/>
    <x v="7"/>
    <x v="6"/>
    <x v="1"/>
    <x v="2"/>
    <x v="0"/>
  </r>
  <r>
    <x v="2"/>
    <x v="8"/>
    <x v="5"/>
    <x v="2"/>
    <x v="1"/>
    <x v="0"/>
  </r>
  <r>
    <x v="2"/>
    <x v="9"/>
    <x v="7"/>
    <x v="2"/>
    <x v="1"/>
    <x v="0"/>
  </r>
  <r>
    <x v="2"/>
    <x v="10"/>
    <x v="8"/>
    <x v="2"/>
    <x v="1"/>
    <x v="0"/>
  </r>
  <r>
    <x v="2"/>
    <x v="11"/>
    <x v="6"/>
    <x v="2"/>
    <x v="2"/>
    <x v="0"/>
  </r>
  <r>
    <x v="3"/>
    <x v="12"/>
    <x v="7"/>
    <x v="3"/>
    <x v="1"/>
    <x v="0"/>
  </r>
  <r>
    <x v="3"/>
    <x v="13"/>
    <x v="9"/>
    <x v="3"/>
    <x v="3"/>
    <x v="0"/>
  </r>
  <r>
    <x v="3"/>
    <x v="14"/>
    <x v="4"/>
    <x v="3"/>
    <x v="1"/>
    <x v="0"/>
  </r>
  <r>
    <x v="3"/>
    <x v="15"/>
    <x v="10"/>
    <x v="3"/>
    <x v="1"/>
    <x v="0"/>
  </r>
  <r>
    <x v="3"/>
    <x v="16"/>
    <x v="11"/>
    <x v="3"/>
    <x v="1"/>
    <x v="0"/>
  </r>
  <r>
    <x v="3"/>
    <x v="17"/>
    <x v="7"/>
    <x v="3"/>
    <x v="1"/>
    <x v="0"/>
  </r>
  <r>
    <x v="3"/>
    <x v="18"/>
    <x v="12"/>
    <x v="3"/>
    <x v="3"/>
    <x v="0"/>
  </r>
  <r>
    <x v="4"/>
    <x v="19"/>
    <x v="4"/>
    <x v="4"/>
    <x v="1"/>
    <x v="0"/>
  </r>
  <r>
    <x v="4"/>
    <x v="20"/>
    <x v="7"/>
    <x v="4"/>
    <x v="1"/>
    <x v="0"/>
  </r>
  <r>
    <x v="4"/>
    <x v="21"/>
    <x v="13"/>
    <x v="4"/>
    <x v="3"/>
    <x v="0"/>
  </r>
  <r>
    <x v="4"/>
    <x v="2"/>
    <x v="14"/>
    <x v="4"/>
    <x v="1"/>
    <x v="0"/>
  </r>
  <r>
    <x v="4"/>
    <x v="22"/>
    <x v="15"/>
    <x v="4"/>
    <x v="3"/>
    <x v="0"/>
  </r>
  <r>
    <x v="4"/>
    <x v="23"/>
    <x v="16"/>
    <x v="4"/>
    <x v="0"/>
    <x v="0"/>
  </r>
  <r>
    <x v="0"/>
    <x v="24"/>
    <x v="17"/>
    <x v="4"/>
    <x v="1"/>
    <x v="1"/>
  </r>
  <r>
    <x v="0"/>
    <x v="25"/>
    <x v="16"/>
    <x v="4"/>
    <x v="0"/>
    <x v="1"/>
  </r>
  <r>
    <x v="0"/>
    <x v="26"/>
    <x v="18"/>
    <x v="4"/>
    <x v="0"/>
    <x v="1"/>
  </r>
  <r>
    <x v="0"/>
    <x v="27"/>
    <x v="19"/>
    <x v="4"/>
    <x v="3"/>
    <x v="1"/>
  </r>
  <r>
    <x v="0"/>
    <x v="28"/>
    <x v="20"/>
    <x v="4"/>
    <x v="0"/>
    <x v="1"/>
  </r>
  <r>
    <x v="1"/>
    <x v="29"/>
    <x v="6"/>
    <x v="4"/>
    <x v="2"/>
    <x v="1"/>
  </r>
  <r>
    <x v="1"/>
    <x v="30"/>
    <x v="7"/>
    <x v="4"/>
    <x v="1"/>
    <x v="1"/>
  </r>
  <r>
    <x v="2"/>
    <x v="31"/>
    <x v="21"/>
    <x v="4"/>
    <x v="1"/>
    <x v="1"/>
  </r>
  <r>
    <x v="2"/>
    <x v="13"/>
    <x v="22"/>
    <x v="4"/>
    <x v="1"/>
    <x v="1"/>
  </r>
  <r>
    <x v="2"/>
    <x v="22"/>
    <x v="23"/>
    <x v="4"/>
    <x v="1"/>
    <x v="1"/>
  </r>
  <r>
    <x v="2"/>
    <x v="32"/>
    <x v="24"/>
    <x v="4"/>
    <x v="1"/>
    <x v="1"/>
  </r>
  <r>
    <x v="2"/>
    <x v="24"/>
    <x v="17"/>
    <x v="4"/>
    <x v="1"/>
    <x v="1"/>
  </r>
  <r>
    <x v="3"/>
    <x v="33"/>
    <x v="25"/>
    <x v="4"/>
    <x v="1"/>
    <x v="1"/>
  </r>
  <r>
    <x v="3"/>
    <x v="34"/>
    <x v="16"/>
    <x v="4"/>
    <x v="0"/>
    <x v="1"/>
  </r>
  <r>
    <x v="4"/>
    <x v="35"/>
    <x v="18"/>
    <x v="4"/>
    <x v="0"/>
    <x v="1"/>
  </r>
  <r>
    <x v="4"/>
    <x v="36"/>
    <x v="26"/>
    <x v="4"/>
    <x v="0"/>
    <x v="1"/>
  </r>
  <r>
    <x v="4"/>
    <x v="37"/>
    <x v="27"/>
    <x v="4"/>
    <x v="0"/>
    <x v="1"/>
  </r>
  <r>
    <x v="4"/>
    <x v="38"/>
    <x v="6"/>
    <x v="4"/>
    <x v="2"/>
    <x v="1"/>
  </r>
  <r>
    <x v="4"/>
    <x v="39"/>
    <x v="28"/>
    <x v="4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6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6"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41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30"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6">
        <item x="1"/>
        <item x="0"/>
        <item x="2"/>
        <item x="3"/>
        <item m="1" x="4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求和项:金额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7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G3:I23" firstHeaderRow="1" firstDataRow="1" firstDataCol="2"/>
  <pivotFields count="6">
    <pivotField axis="axisRow"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41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30"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6">
        <item x="1"/>
        <item x="0"/>
        <item x="2"/>
        <item x="3"/>
        <item m="1" x="4"/>
        <item t="default"/>
      </items>
    </pivotField>
    <pivotField compact="0" showAll="0">
      <items count="3">
        <item x="0"/>
        <item x="1"/>
        <item t="default"/>
      </items>
    </pivotField>
  </pivotFields>
  <rowFields count="2">
    <field x="0"/>
    <field x="4"/>
  </rowFields>
  <rowItems count="20">
    <i>
      <x/>
    </i>
    <i r="1">
      <x/>
    </i>
    <i r="1">
      <x v="1"/>
    </i>
    <i r="1">
      <x v="3"/>
    </i>
    <i>
      <x v="1"/>
    </i>
    <i r="1">
      <x/>
    </i>
    <i r="1">
      <x v="2"/>
    </i>
    <i>
      <x v="2"/>
    </i>
    <i r="1">
      <x/>
    </i>
    <i r="1">
      <x v="2"/>
    </i>
    <i>
      <x v="3"/>
    </i>
    <i r="1">
      <x/>
    </i>
    <i r="1">
      <x v="1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求和项:金额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8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D3:E9" firstHeaderRow="1" firstDataRow="1" firstDataCol="1"/>
  <pivotFields count="6">
    <pivotField axis="axisRow"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41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30"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1"/>
        <item x="0"/>
        <item x="2"/>
        <item x="3"/>
        <item m="1" x="4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求和项:金额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zoomScale="98" zoomScaleNormal="98" workbookViewId="0">
      <selection activeCell="D35" sqref="D35"/>
    </sheetView>
  </sheetViews>
  <sheetFormatPr defaultColWidth="9" defaultRowHeight="16.8" outlineLevelCol="5"/>
  <cols>
    <col min="1" max="1" width="12.0769230769231" customWidth="1"/>
    <col min="2" max="2" width="6.69230769230769" customWidth="1"/>
    <col min="3" max="3" width="36.6153846153846" customWidth="1"/>
    <col min="4" max="4" width="53.5288461538462" customWidth="1"/>
    <col min="5" max="5" width="20.1826923076923" customWidth="1"/>
    <col min="6" max="6" width="8.1538461538461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512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 t="s">
        <v>6</v>
      </c>
      <c r="B3" s="2">
        <v>52.5</v>
      </c>
      <c r="C3" s="2" t="s">
        <v>11</v>
      </c>
      <c r="D3" s="2" t="s">
        <v>8</v>
      </c>
      <c r="E3" s="2" t="s">
        <v>12</v>
      </c>
      <c r="F3" s="2" t="s">
        <v>10</v>
      </c>
    </row>
    <row r="4" spans="1:6">
      <c r="A4" s="2" t="s">
        <v>6</v>
      </c>
      <c r="B4" s="2">
        <v>61</v>
      </c>
      <c r="C4" s="2" t="s">
        <v>13</v>
      </c>
      <c r="D4" s="2" t="s">
        <v>8</v>
      </c>
      <c r="E4" s="2" t="s">
        <v>9</v>
      </c>
      <c r="F4" s="2" t="s">
        <v>10</v>
      </c>
    </row>
    <row r="5" spans="1:6">
      <c r="A5" s="2" t="s">
        <v>6</v>
      </c>
      <c r="B5" s="2">
        <v>34</v>
      </c>
      <c r="C5" s="2" t="s">
        <v>14</v>
      </c>
      <c r="D5" s="2" t="s">
        <v>8</v>
      </c>
      <c r="E5" s="2" t="s">
        <v>12</v>
      </c>
      <c r="F5" s="2" t="s">
        <v>10</v>
      </c>
    </row>
    <row r="6" spans="1:6">
      <c r="A6" s="2" t="s">
        <v>15</v>
      </c>
      <c r="B6" s="2">
        <v>45.8</v>
      </c>
      <c r="C6" s="2" t="s">
        <v>11</v>
      </c>
      <c r="D6" s="2" t="s">
        <v>16</v>
      </c>
      <c r="E6" s="2" t="s">
        <v>12</v>
      </c>
      <c r="F6" s="2" t="s">
        <v>10</v>
      </c>
    </row>
    <row r="7" spans="1:6">
      <c r="A7" s="2" t="s">
        <v>15</v>
      </c>
      <c r="B7" s="2">
        <v>218</v>
      </c>
      <c r="C7" s="2" t="s">
        <v>17</v>
      </c>
      <c r="D7" s="2" t="s">
        <v>16</v>
      </c>
      <c r="E7" s="2" t="s">
        <v>12</v>
      </c>
      <c r="F7" s="2" t="s">
        <v>10</v>
      </c>
    </row>
    <row r="8" spans="1:6">
      <c r="A8" s="2" t="s">
        <v>15</v>
      </c>
      <c r="B8" s="2">
        <v>16</v>
      </c>
      <c r="C8" s="2" t="s">
        <v>18</v>
      </c>
      <c r="D8" s="2" t="s">
        <v>16</v>
      </c>
      <c r="E8" s="2" t="s">
        <v>12</v>
      </c>
      <c r="F8" s="2" t="s">
        <v>10</v>
      </c>
    </row>
    <row r="9" spans="1:6">
      <c r="A9" s="2" t="s">
        <v>15</v>
      </c>
      <c r="B9" s="2">
        <v>167.6</v>
      </c>
      <c r="C9" s="2" t="s">
        <v>19</v>
      </c>
      <c r="D9" s="2" t="s">
        <v>16</v>
      </c>
      <c r="E9" s="2" t="s">
        <v>19</v>
      </c>
      <c r="F9" s="2" t="s">
        <v>10</v>
      </c>
    </row>
    <row r="10" spans="1:6">
      <c r="A10" s="2" t="s">
        <v>20</v>
      </c>
      <c r="B10" s="2">
        <v>12</v>
      </c>
      <c r="C10" s="2" t="s">
        <v>18</v>
      </c>
      <c r="D10" s="2" t="s">
        <v>21</v>
      </c>
      <c r="E10" s="2" t="s">
        <v>12</v>
      </c>
      <c r="F10" s="2" t="s">
        <v>10</v>
      </c>
    </row>
    <row r="11" spans="1:6">
      <c r="A11" s="2" t="s">
        <v>20</v>
      </c>
      <c r="B11" s="2">
        <v>228</v>
      </c>
      <c r="C11" s="2" t="s">
        <v>22</v>
      </c>
      <c r="D11" s="2" t="s">
        <v>21</v>
      </c>
      <c r="E11" s="2" t="s">
        <v>12</v>
      </c>
      <c r="F11" s="2" t="s">
        <v>10</v>
      </c>
    </row>
    <row r="12" spans="1:6">
      <c r="A12" s="2" t="s">
        <v>20</v>
      </c>
      <c r="B12" s="2">
        <v>8.5</v>
      </c>
      <c r="C12" s="2" t="s">
        <v>23</v>
      </c>
      <c r="D12" s="2" t="s">
        <v>21</v>
      </c>
      <c r="E12" s="2" t="s">
        <v>12</v>
      </c>
      <c r="F12" s="2" t="s">
        <v>10</v>
      </c>
    </row>
    <row r="13" spans="1:6">
      <c r="A13" s="2" t="s">
        <v>20</v>
      </c>
      <c r="B13" s="2">
        <v>156.7</v>
      </c>
      <c r="C13" s="2" t="s">
        <v>19</v>
      </c>
      <c r="D13" s="2" t="s">
        <v>21</v>
      </c>
      <c r="E13" s="2" t="s">
        <v>19</v>
      </c>
      <c r="F13" s="2" t="s">
        <v>10</v>
      </c>
    </row>
    <row r="14" spans="1:6">
      <c r="A14" s="2" t="s">
        <v>24</v>
      </c>
      <c r="B14" s="2">
        <v>59</v>
      </c>
      <c r="C14" s="2" t="s">
        <v>22</v>
      </c>
      <c r="D14" s="2" t="s">
        <v>25</v>
      </c>
      <c r="E14" s="2" t="s">
        <v>12</v>
      </c>
      <c r="F14" s="2" t="s">
        <v>10</v>
      </c>
    </row>
    <row r="15" spans="1:6">
      <c r="A15" s="2" t="s">
        <v>24</v>
      </c>
      <c r="B15" s="2">
        <v>20</v>
      </c>
      <c r="C15" s="2" t="s">
        <v>26</v>
      </c>
      <c r="D15" s="2" t="s">
        <v>25</v>
      </c>
      <c r="E15" s="2" t="s">
        <v>27</v>
      </c>
      <c r="F15" s="2" t="s">
        <v>10</v>
      </c>
    </row>
    <row r="16" spans="1:6">
      <c r="A16" s="2" t="s">
        <v>24</v>
      </c>
      <c r="B16" s="2">
        <v>168</v>
      </c>
      <c r="C16" s="2" t="s">
        <v>17</v>
      </c>
      <c r="D16" s="2" t="s">
        <v>25</v>
      </c>
      <c r="E16" s="2" t="s">
        <v>12</v>
      </c>
      <c r="F16" s="2" t="s">
        <v>10</v>
      </c>
    </row>
    <row r="17" spans="1:6">
      <c r="A17" s="2" t="s">
        <v>24</v>
      </c>
      <c r="B17" s="2">
        <v>93.5</v>
      </c>
      <c r="C17" s="2" t="s">
        <v>28</v>
      </c>
      <c r="D17" s="2" t="s">
        <v>25</v>
      </c>
      <c r="E17" s="2" t="s">
        <v>12</v>
      </c>
      <c r="F17" s="2" t="s">
        <v>10</v>
      </c>
    </row>
    <row r="18" spans="1:6">
      <c r="A18" s="2" t="s">
        <v>24</v>
      </c>
      <c r="B18" s="2">
        <v>64.5</v>
      </c>
      <c r="C18" s="2" t="s">
        <v>29</v>
      </c>
      <c r="D18" s="2" t="s">
        <v>25</v>
      </c>
      <c r="E18" s="2" t="s">
        <v>12</v>
      </c>
      <c r="F18" s="2" t="s">
        <v>10</v>
      </c>
    </row>
    <row r="19" spans="1:6">
      <c r="A19" s="2" t="s">
        <v>24</v>
      </c>
      <c r="B19" s="2">
        <v>95</v>
      </c>
      <c r="C19" s="2" t="s">
        <v>22</v>
      </c>
      <c r="D19" s="2" t="s">
        <v>25</v>
      </c>
      <c r="E19" s="2" t="s">
        <v>12</v>
      </c>
      <c r="F19" s="2" t="s">
        <v>10</v>
      </c>
    </row>
    <row r="20" spans="1:6">
      <c r="A20" s="2" t="s">
        <v>24</v>
      </c>
      <c r="B20" s="2">
        <v>72.6</v>
      </c>
      <c r="C20" s="2" t="s">
        <v>30</v>
      </c>
      <c r="D20" s="2" t="s">
        <v>25</v>
      </c>
      <c r="E20" s="2" t="s">
        <v>27</v>
      </c>
      <c r="F20" s="2" t="s">
        <v>10</v>
      </c>
    </row>
    <row r="21" spans="1:6">
      <c r="A21" s="2" t="s">
        <v>31</v>
      </c>
      <c r="B21" s="2">
        <v>272</v>
      </c>
      <c r="C21" s="2" t="s">
        <v>17</v>
      </c>
      <c r="D21" s="2" t="s">
        <v>32</v>
      </c>
      <c r="E21" s="2" t="s">
        <v>12</v>
      </c>
      <c r="F21" s="2" t="s">
        <v>10</v>
      </c>
    </row>
    <row r="22" spans="1:6">
      <c r="A22" s="2" t="s">
        <v>31</v>
      </c>
      <c r="B22" s="2">
        <v>153.86</v>
      </c>
      <c r="C22" s="2" t="s">
        <v>22</v>
      </c>
      <c r="D22" s="2" t="s">
        <v>32</v>
      </c>
      <c r="E22" s="2" t="s">
        <v>12</v>
      </c>
      <c r="F22" s="2" t="s">
        <v>10</v>
      </c>
    </row>
    <row r="23" spans="1:6">
      <c r="A23" s="2" t="s">
        <v>31</v>
      </c>
      <c r="B23" s="2">
        <v>41.39</v>
      </c>
      <c r="C23" s="2" t="s">
        <v>33</v>
      </c>
      <c r="D23" s="2" t="s">
        <v>32</v>
      </c>
      <c r="E23" s="2" t="s">
        <v>27</v>
      </c>
      <c r="F23" s="2" t="s">
        <v>10</v>
      </c>
    </row>
    <row r="24" spans="1:6">
      <c r="A24" s="2" t="s">
        <v>31</v>
      </c>
      <c r="B24" s="2">
        <v>61</v>
      </c>
      <c r="C24" s="2" t="s">
        <v>34</v>
      </c>
      <c r="D24" s="2" t="s">
        <v>32</v>
      </c>
      <c r="E24" s="2" t="s">
        <v>12</v>
      </c>
      <c r="F24" s="2" t="s">
        <v>10</v>
      </c>
    </row>
    <row r="25" spans="1:6">
      <c r="A25" s="2" t="s">
        <v>31</v>
      </c>
      <c r="B25" s="2">
        <v>35</v>
      </c>
      <c r="C25" s="2" t="s">
        <v>35</v>
      </c>
      <c r="D25" s="2" t="s">
        <v>32</v>
      </c>
      <c r="E25" s="2" t="s">
        <v>27</v>
      </c>
      <c r="F25" s="2" t="s">
        <v>10</v>
      </c>
    </row>
    <row r="26" spans="1:6">
      <c r="A26" s="2" t="s">
        <v>31</v>
      </c>
      <c r="B26" s="2">
        <v>9.9</v>
      </c>
      <c r="C26" s="2" t="s">
        <v>36</v>
      </c>
      <c r="D26" s="2" t="s">
        <v>32</v>
      </c>
      <c r="E26" s="2" t="s">
        <v>9</v>
      </c>
      <c r="F26" s="2" t="s">
        <v>10</v>
      </c>
    </row>
    <row r="27" spans="1:6">
      <c r="A27" s="2" t="s">
        <v>6</v>
      </c>
      <c r="B27" s="2">
        <v>36</v>
      </c>
      <c r="C27" s="2" t="s">
        <v>37</v>
      </c>
      <c r="D27" s="2" t="s">
        <v>32</v>
      </c>
      <c r="E27" s="2" t="s">
        <v>12</v>
      </c>
      <c r="F27" s="2" t="s">
        <v>38</v>
      </c>
    </row>
    <row r="28" spans="1:6">
      <c r="A28" s="2" t="s">
        <v>6</v>
      </c>
      <c r="B28" s="2">
        <v>62</v>
      </c>
      <c r="C28" s="2" t="s">
        <v>36</v>
      </c>
      <c r="D28" s="2" t="s">
        <v>32</v>
      </c>
      <c r="E28" s="2" t="s">
        <v>9</v>
      </c>
      <c r="F28" s="2" t="s">
        <v>38</v>
      </c>
    </row>
    <row r="29" spans="1:6">
      <c r="A29" s="2" t="s">
        <v>6</v>
      </c>
      <c r="B29" s="2">
        <v>28</v>
      </c>
      <c r="C29" s="2" t="s">
        <v>39</v>
      </c>
      <c r="D29" s="2" t="s">
        <v>32</v>
      </c>
      <c r="E29" s="2" t="s">
        <v>9</v>
      </c>
      <c r="F29" s="2" t="s">
        <v>38</v>
      </c>
    </row>
    <row r="30" spans="1:6">
      <c r="A30" s="2" t="s">
        <v>6</v>
      </c>
      <c r="B30" s="2">
        <v>24</v>
      </c>
      <c r="C30" s="2" t="s">
        <v>40</v>
      </c>
      <c r="D30" s="2" t="s">
        <v>32</v>
      </c>
      <c r="E30" s="2" t="s">
        <v>27</v>
      </c>
      <c r="F30" s="2" t="s">
        <v>38</v>
      </c>
    </row>
    <row r="31" spans="1:6">
      <c r="A31" s="2" t="s">
        <v>6</v>
      </c>
      <c r="B31" s="2">
        <v>915</v>
      </c>
      <c r="C31" s="2" t="s">
        <v>41</v>
      </c>
      <c r="D31" s="2" t="s">
        <v>32</v>
      </c>
      <c r="E31" s="2" t="s">
        <v>9</v>
      </c>
      <c r="F31" s="2" t="s">
        <v>38</v>
      </c>
    </row>
    <row r="32" spans="1:6">
      <c r="A32" s="2" t="s">
        <v>15</v>
      </c>
      <c r="B32" s="2">
        <v>244</v>
      </c>
      <c r="C32" s="2" t="s">
        <v>19</v>
      </c>
      <c r="D32" s="2" t="s">
        <v>32</v>
      </c>
      <c r="E32" s="2" t="s">
        <v>19</v>
      </c>
      <c r="F32" s="2" t="s">
        <v>38</v>
      </c>
    </row>
    <row r="33" spans="1:6">
      <c r="A33" s="2" t="s">
        <v>15</v>
      </c>
      <c r="B33" s="2">
        <v>98</v>
      </c>
      <c r="C33" s="2" t="s">
        <v>22</v>
      </c>
      <c r="D33" s="2" t="s">
        <v>32</v>
      </c>
      <c r="E33" s="2" t="s">
        <v>12</v>
      </c>
      <c r="F33" s="2" t="s">
        <v>38</v>
      </c>
    </row>
    <row r="34" spans="1:6">
      <c r="A34" s="2" t="s">
        <v>20</v>
      </c>
      <c r="B34" s="2">
        <v>44</v>
      </c>
      <c r="C34" s="2" t="s">
        <v>42</v>
      </c>
      <c r="D34" s="2" t="s">
        <v>32</v>
      </c>
      <c r="E34" s="2" t="s">
        <v>12</v>
      </c>
      <c r="F34" s="2" t="s">
        <v>38</v>
      </c>
    </row>
    <row r="35" spans="1:6">
      <c r="A35" s="2" t="s">
        <v>20</v>
      </c>
      <c r="B35" s="2">
        <v>20</v>
      </c>
      <c r="C35" s="2" t="s">
        <v>43</v>
      </c>
      <c r="D35" s="2" t="s">
        <v>32</v>
      </c>
      <c r="E35" s="2" t="s">
        <v>12</v>
      </c>
      <c r="F35" s="2" t="s">
        <v>38</v>
      </c>
    </row>
    <row r="36" spans="1:6">
      <c r="A36" s="2" t="s">
        <v>20</v>
      </c>
      <c r="B36" s="2">
        <v>35</v>
      </c>
      <c r="C36" s="2" t="s">
        <v>44</v>
      </c>
      <c r="D36" s="2" t="s">
        <v>32</v>
      </c>
      <c r="E36" s="2" t="s">
        <v>12</v>
      </c>
      <c r="F36" s="2" t="s">
        <v>38</v>
      </c>
    </row>
    <row r="37" spans="1:6">
      <c r="A37" s="2" t="s">
        <v>20</v>
      </c>
      <c r="B37" s="2">
        <v>100</v>
      </c>
      <c r="C37" s="2" t="s">
        <v>45</v>
      </c>
      <c r="D37" s="2" t="s">
        <v>32</v>
      </c>
      <c r="E37" s="2" t="s">
        <v>12</v>
      </c>
      <c r="F37" s="2" t="s">
        <v>38</v>
      </c>
    </row>
    <row r="38" spans="1:6">
      <c r="A38" s="2" t="s">
        <v>20</v>
      </c>
      <c r="B38" s="2">
        <v>36</v>
      </c>
      <c r="C38" s="2" t="s">
        <v>37</v>
      </c>
      <c r="D38" s="2" t="s">
        <v>32</v>
      </c>
      <c r="E38" s="2" t="s">
        <v>12</v>
      </c>
      <c r="F38" s="2" t="s">
        <v>38</v>
      </c>
    </row>
    <row r="39" spans="1:6">
      <c r="A39" s="2" t="s">
        <v>24</v>
      </c>
      <c r="B39" s="2">
        <v>7</v>
      </c>
      <c r="C39" s="2" t="s">
        <v>46</v>
      </c>
      <c r="D39" s="2" t="s">
        <v>32</v>
      </c>
      <c r="E39" s="2" t="s">
        <v>12</v>
      </c>
      <c r="F39" s="2" t="s">
        <v>38</v>
      </c>
    </row>
    <row r="40" spans="1:6">
      <c r="A40" s="2" t="s">
        <v>24</v>
      </c>
      <c r="B40" s="2">
        <v>18</v>
      </c>
      <c r="C40" s="2" t="s">
        <v>36</v>
      </c>
      <c r="D40" s="2" t="s">
        <v>32</v>
      </c>
      <c r="E40" s="2" t="s">
        <v>9</v>
      </c>
      <c r="F40" s="2" t="s">
        <v>38</v>
      </c>
    </row>
    <row r="41" spans="1:6">
      <c r="A41" s="2" t="s">
        <v>31</v>
      </c>
      <c r="B41" s="2">
        <v>4</v>
      </c>
      <c r="C41" s="2" t="s">
        <v>39</v>
      </c>
      <c r="D41" s="2" t="s">
        <v>32</v>
      </c>
      <c r="E41" s="2" t="s">
        <v>9</v>
      </c>
      <c r="F41" s="2" t="s">
        <v>38</v>
      </c>
    </row>
    <row r="42" spans="1:6">
      <c r="A42" s="2" t="s">
        <v>31</v>
      </c>
      <c r="B42" s="2">
        <v>784</v>
      </c>
      <c r="C42" s="2" t="s">
        <v>47</v>
      </c>
      <c r="D42" s="2" t="s">
        <v>32</v>
      </c>
      <c r="E42" s="2" t="s">
        <v>9</v>
      </c>
      <c r="F42" s="2" t="s">
        <v>38</v>
      </c>
    </row>
    <row r="43" spans="1:6">
      <c r="A43" s="2" t="s">
        <v>31</v>
      </c>
      <c r="B43" s="2">
        <v>177</v>
      </c>
      <c r="C43" s="2" t="s">
        <v>48</v>
      </c>
      <c r="D43" s="2" t="s">
        <v>32</v>
      </c>
      <c r="E43" s="2" t="s">
        <v>9</v>
      </c>
      <c r="F43" s="2" t="s">
        <v>38</v>
      </c>
    </row>
    <row r="44" spans="1:6">
      <c r="A44" s="2" t="s">
        <v>31</v>
      </c>
      <c r="B44" s="2">
        <v>151</v>
      </c>
      <c r="C44" s="2" t="s">
        <v>19</v>
      </c>
      <c r="D44" s="2" t="s">
        <v>32</v>
      </c>
      <c r="E44" s="2" t="s">
        <v>19</v>
      </c>
      <c r="F44" s="2" t="s">
        <v>38</v>
      </c>
    </row>
    <row r="45" spans="1:6">
      <c r="A45" s="2" t="s">
        <v>31</v>
      </c>
      <c r="B45" s="2">
        <v>15</v>
      </c>
      <c r="C45" s="2" t="s">
        <v>49</v>
      </c>
      <c r="D45" s="2" t="s">
        <v>32</v>
      </c>
      <c r="E45" s="2" t="s">
        <v>12</v>
      </c>
      <c r="F45" s="2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3"/>
  <sheetViews>
    <sheetView tabSelected="1" workbookViewId="0">
      <selection activeCell="B5" sqref="B5"/>
    </sheetView>
  </sheetViews>
  <sheetFormatPr defaultColWidth="9.23076923076923" defaultRowHeight="16.8"/>
  <cols>
    <col min="1" max="1" width="8"/>
    <col min="2" max="3" width="13.2307692307692"/>
    <col min="4" max="4" width="12.0769230769231"/>
    <col min="5" max="5" width="13.2307692307692"/>
    <col min="8" max="8" width="8"/>
    <col min="9" max="9" width="13.2307692307692"/>
  </cols>
  <sheetData>
    <row r="3" spans="1:9">
      <c r="A3" t="s">
        <v>4</v>
      </c>
      <c r="B3" t="s">
        <v>50</v>
      </c>
      <c r="D3" t="s">
        <v>0</v>
      </c>
      <c r="E3" t="s">
        <v>50</v>
      </c>
      <c r="G3" t="s">
        <v>0</v>
      </c>
      <c r="H3" t="s">
        <v>4</v>
      </c>
      <c r="I3" t="s">
        <v>50</v>
      </c>
    </row>
    <row r="4" spans="1:9">
      <c r="A4" t="s">
        <v>12</v>
      </c>
      <c r="B4">
        <v>1972.66</v>
      </c>
      <c r="D4" t="s">
        <v>6</v>
      </c>
      <c r="E4">
        <v>1724.5</v>
      </c>
      <c r="G4" t="s">
        <v>6</v>
      </c>
      <c r="I4">
        <v>1724.5</v>
      </c>
    </row>
    <row r="5" spans="1:9">
      <c r="A5" t="s">
        <v>9</v>
      </c>
      <c r="B5">
        <v>2570.9</v>
      </c>
      <c r="D5" t="s">
        <v>15</v>
      </c>
      <c r="E5">
        <v>789.4</v>
      </c>
      <c r="H5" t="s">
        <v>12</v>
      </c>
      <c r="I5">
        <v>122.5</v>
      </c>
    </row>
    <row r="6" spans="1:9">
      <c r="A6" t="s">
        <v>19</v>
      </c>
      <c r="B6">
        <v>719.3</v>
      </c>
      <c r="D6" t="s">
        <v>20</v>
      </c>
      <c r="E6">
        <v>640.2</v>
      </c>
      <c r="H6" t="s">
        <v>9</v>
      </c>
      <c r="I6">
        <v>1578</v>
      </c>
    </row>
    <row r="7" spans="1:9">
      <c r="A7" t="s">
        <v>27</v>
      </c>
      <c r="B7">
        <v>192.99</v>
      </c>
      <c r="D7" t="s">
        <v>24</v>
      </c>
      <c r="E7">
        <v>597.6</v>
      </c>
      <c r="H7" t="s">
        <v>27</v>
      </c>
      <c r="I7">
        <v>24</v>
      </c>
    </row>
    <row r="8" spans="1:9">
      <c r="A8" t="s">
        <v>51</v>
      </c>
      <c r="B8">
        <v>5455.85</v>
      </c>
      <c r="D8" t="s">
        <v>31</v>
      </c>
      <c r="E8">
        <v>1704.15</v>
      </c>
      <c r="G8" t="s">
        <v>15</v>
      </c>
      <c r="I8">
        <v>789.4</v>
      </c>
    </row>
    <row r="9" spans="4:9">
      <c r="D9" t="s">
        <v>51</v>
      </c>
      <c r="E9">
        <v>5455.85</v>
      </c>
      <c r="H9" t="s">
        <v>12</v>
      </c>
      <c r="I9">
        <v>377.8</v>
      </c>
    </row>
    <row r="10" spans="8:9">
      <c r="H10" t="s">
        <v>19</v>
      </c>
      <c r="I10">
        <v>411.6</v>
      </c>
    </row>
    <row r="11" spans="7:9">
      <c r="G11" t="s">
        <v>20</v>
      </c>
      <c r="I11">
        <v>640.2</v>
      </c>
    </row>
    <row r="12" spans="8:9">
      <c r="H12" t="s">
        <v>12</v>
      </c>
      <c r="I12">
        <v>483.5</v>
      </c>
    </row>
    <row r="13" spans="8:9">
      <c r="H13" t="s">
        <v>19</v>
      </c>
      <c r="I13">
        <v>156.7</v>
      </c>
    </row>
    <row r="14" spans="7:9">
      <c r="G14" t="s">
        <v>24</v>
      </c>
      <c r="I14">
        <v>597.6</v>
      </c>
    </row>
    <row r="15" spans="8:9">
      <c r="H15" t="s">
        <v>12</v>
      </c>
      <c r="I15">
        <v>487</v>
      </c>
    </row>
    <row r="16" spans="8:9">
      <c r="H16" t="s">
        <v>9</v>
      </c>
      <c r="I16">
        <v>18</v>
      </c>
    </row>
    <row r="17" spans="8:9">
      <c r="H17" t="s">
        <v>27</v>
      </c>
      <c r="I17">
        <v>92.6</v>
      </c>
    </row>
    <row r="18" spans="7:9">
      <c r="G18" t="s">
        <v>31</v>
      </c>
      <c r="H18"/>
      <c r="I18">
        <v>1704.15</v>
      </c>
    </row>
    <row r="19" spans="8:9">
      <c r="H19" t="s">
        <v>12</v>
      </c>
      <c r="I19">
        <v>501.86</v>
      </c>
    </row>
    <row r="20" spans="8:9">
      <c r="H20" t="s">
        <v>9</v>
      </c>
      <c r="I20">
        <v>974.9</v>
      </c>
    </row>
    <row r="21" spans="8:9">
      <c r="H21" t="s">
        <v>19</v>
      </c>
      <c r="I21">
        <v>151</v>
      </c>
    </row>
    <row r="22" spans="8:9">
      <c r="H22" t="s">
        <v>27</v>
      </c>
      <c r="I22">
        <v>76.39</v>
      </c>
    </row>
    <row r="23" spans="7:9">
      <c r="G23" t="s">
        <v>51</v>
      </c>
      <c r="I23">
        <v>5455.85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standard</vt:lpstr>
      <vt:lpstr>pivot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℉</cp:lastModifiedBy>
  <dcterms:created xsi:type="dcterms:W3CDTF">2024-07-31T08:16:00Z</dcterms:created>
  <dcterms:modified xsi:type="dcterms:W3CDTF">2024-10-03T18:24:35Z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ACF4A937BABE71F33C50A766ED7AA524_42</vt:lpwstr>
  </property>
  <property fmtid="{D5CDD505-2E9C-101B-9397-08002B2CF9AE}" pid="3" name="KSOProductBuildVer">
    <vt:lpwstr>2052-6.5.2.8766</vt:lpwstr>
  </property>
</Properties>
</file>