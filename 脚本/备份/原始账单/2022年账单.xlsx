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80" windowHeight="13420" tabRatio="755"/>
  </bookViews>
  <sheets>
    <sheet name="一月" sheetId="1" r:id="rId1"/>
    <sheet name="二月" sheetId="2" r:id="rId2"/>
    <sheet name="三月" sheetId="3" r:id="rId3"/>
    <sheet name="四月" sheetId="4" r:id="rId4"/>
    <sheet name="五月" sheetId="5" r:id="rId5"/>
    <sheet name="六月" sheetId="6" r:id="rId6"/>
    <sheet name="七月" sheetId="7" r:id="rId7"/>
    <sheet name="八月" sheetId="8" r:id="rId8"/>
    <sheet name="九月" sheetId="9" r:id="rId9"/>
    <sheet name="十月" sheetId="10" r:id="rId10"/>
    <sheet name="十一月" sheetId="11" r:id="rId11"/>
    <sheet name="十二月" sheetId="12" r:id="rId12"/>
    <sheet name="年度总结" sheetId="13" r:id="rId13"/>
  </sheets>
  <calcPr calcId="144525" concurrentCalc="0"/>
</workbook>
</file>

<file path=xl/comments1.xml><?xml version="1.0" encoding="utf-8"?>
<comments xmlns="http://schemas.openxmlformats.org/spreadsheetml/2006/main">
  <authors>
    <author>luoziweiyu</author>
  </authors>
  <commentList>
    <comment ref="AC9" authorId="0">
      <text>
        <r>
          <rPr>
            <b/>
            <sz val="9"/>
            <rFont val="方正书宋_GBK"/>
            <charset val="134"/>
          </rPr>
          <t>luoziweiyu:</t>
        </r>
        <r>
          <rPr>
            <sz val="9"/>
            <rFont val="方正书宋_GBK"/>
            <charset val="134"/>
          </rPr>
          <t xml:space="preserve">
8（贺卡）+94.68（凉鞋）+138（防晒衣）+16.95（袜子）+26.95（装饰花）+19（丝袜）+蛋糕（84.5）=8+94.68+138+16.95+26.95+19+84.5=388.08</t>
        </r>
      </text>
    </comment>
  </commentList>
</comments>
</file>

<file path=xl/sharedStrings.xml><?xml version="1.0" encoding="utf-8"?>
<sst xmlns="http://schemas.openxmlformats.org/spreadsheetml/2006/main" count="310">
  <si>
    <t>寒假</t>
  </si>
  <si>
    <t>日期</t>
  </si>
  <si>
    <t>总计</t>
  </si>
  <si>
    <t>①</t>
  </si>
  <si>
    <t>早餐</t>
  </si>
  <si>
    <t>午餐</t>
  </si>
  <si>
    <t>晚餐</t>
  </si>
  <si>
    <t>茉莉餐厅</t>
  </si>
  <si>
    <t>餐饮</t>
  </si>
  <si>
    <t>买菜</t>
  </si>
  <si>
    <t>逛超市</t>
  </si>
  <si>
    <t>②</t>
  </si>
  <si>
    <t>交通出行</t>
  </si>
  <si>
    <t>家庭支出</t>
  </si>
  <si>
    <t>悦学姐</t>
  </si>
  <si>
    <t>转账+化妆</t>
  </si>
  <si>
    <t>酸辣粉</t>
  </si>
  <si>
    <t>奶粉+</t>
  </si>
  <si>
    <t>人际交往</t>
  </si>
  <si>
    <t>人情往来</t>
  </si>
  <si>
    <t>APP付费</t>
  </si>
  <si>
    <t>云服务器</t>
  </si>
  <si>
    <t>休闲娱乐</t>
  </si>
  <si>
    <t>剧本杀</t>
  </si>
  <si>
    <t>发红包</t>
  </si>
  <si>
    <t>住宿支出</t>
  </si>
  <si>
    <t>③</t>
  </si>
  <si>
    <t>生活支出</t>
  </si>
  <si>
    <t>快递</t>
  </si>
  <si>
    <t>④</t>
  </si>
  <si>
    <t>衣帽服饰</t>
  </si>
  <si>
    <t>服饰购物</t>
  </si>
  <si>
    <t>⑤</t>
  </si>
  <si>
    <t>购物</t>
  </si>
  <si>
    <t>生活购物</t>
  </si>
  <si>
    <t>⑥</t>
  </si>
  <si>
    <t>文体教育</t>
  </si>
  <si>
    <t>⑦</t>
  </si>
  <si>
    <t>医疗健康</t>
  </si>
  <si>
    <t>二附院+一附院</t>
  </si>
  <si>
    <t>共计</t>
  </si>
  <si>
    <t>流入</t>
  </si>
  <si>
    <t>兼职收入</t>
  </si>
  <si>
    <t>爸妈打钱</t>
  </si>
  <si>
    <t>妈</t>
  </si>
  <si>
    <t>证券市场收益</t>
  </si>
  <si>
    <t>其他</t>
  </si>
  <si>
    <t>就业补贴</t>
  </si>
  <si>
    <t>龙舟队助理教练</t>
  </si>
  <si>
    <t>返校</t>
  </si>
  <si>
    <t>上海看病</t>
  </si>
  <si>
    <t>回合肥</t>
  </si>
  <si>
    <t>吃的</t>
  </si>
  <si>
    <t>菜+吃</t>
  </si>
  <si>
    <t>生活用品</t>
  </si>
  <si>
    <t>姐</t>
  </si>
  <si>
    <t>悦姐姐</t>
  </si>
  <si>
    <t>红包</t>
  </si>
  <si>
    <t>报销麻将</t>
  </si>
  <si>
    <t>瑜伽裤</t>
  </si>
  <si>
    <t>情人节礼物</t>
  </si>
  <si>
    <t>眼药水</t>
  </si>
  <si>
    <t>充电线</t>
  </si>
  <si>
    <t>子程生日</t>
  </si>
  <si>
    <t>悦姐姐的姐姐</t>
  </si>
  <si>
    <t>康佳</t>
  </si>
  <si>
    <t>房租</t>
  </si>
  <si>
    <t>洗澡</t>
  </si>
  <si>
    <t>水电费</t>
  </si>
  <si>
    <t>剪头</t>
  </si>
  <si>
    <t>纸巾</t>
  </si>
  <si>
    <t>书架+厨具</t>
  </si>
  <si>
    <t>酒精灯</t>
  </si>
  <si>
    <t>情趣用品</t>
  </si>
  <si>
    <t>考研资料</t>
  </si>
  <si>
    <t>阜阳看病</t>
  </si>
  <si>
    <t>优思悦</t>
  </si>
  <si>
    <t>阜阳</t>
  </si>
  <si>
    <t>水果</t>
  </si>
  <si>
    <t>搬家请吃饭</t>
  </si>
  <si>
    <t>生蚝</t>
  </si>
  <si>
    <t>零食</t>
  </si>
  <si>
    <t>辣条</t>
  </si>
  <si>
    <t>步行街</t>
  </si>
  <si>
    <t>拼多多吃</t>
  </si>
  <si>
    <t>拼多多+辣条</t>
  </si>
  <si>
    <t>电动车</t>
  </si>
  <si>
    <t>电动车充电</t>
  </si>
  <si>
    <t>花+红包</t>
  </si>
  <si>
    <t>隐形眼镜</t>
  </si>
  <si>
    <t>眼药水+悦学姐给我转账</t>
  </si>
  <si>
    <t>赵晨阳奶茶</t>
  </si>
  <si>
    <t>默默单词</t>
  </si>
  <si>
    <t>房租+中介费</t>
  </si>
  <si>
    <t>退租违约金</t>
  </si>
  <si>
    <t>润肤露</t>
  </si>
  <si>
    <t>话费</t>
  </si>
  <si>
    <t>收纳</t>
  </si>
  <si>
    <t>煤气费</t>
  </si>
  <si>
    <t>生活用品+快递</t>
  </si>
  <si>
    <t>剃头+水龙头</t>
  </si>
  <si>
    <t>针线</t>
  </si>
  <si>
    <t>文体教育培训</t>
  </si>
  <si>
    <t>六级报名</t>
  </si>
  <si>
    <t>一附院</t>
  </si>
  <si>
    <t>爸</t>
  </si>
  <si>
    <t>理财-固收</t>
  </si>
  <si>
    <t>四人行红包</t>
  </si>
  <si>
    <t>支出</t>
  </si>
  <si>
    <t>瓜子</t>
  </si>
  <si>
    <t>请宿舍水果</t>
  </si>
  <si>
    <t>晨阳</t>
  </si>
  <si>
    <t>淘宝月卡</t>
  </si>
  <si>
    <t>iCloud</t>
  </si>
  <si>
    <t>衣架</t>
  </si>
  <si>
    <t>修车</t>
  </si>
  <si>
    <t>寄快递</t>
  </si>
  <si>
    <t>内衣</t>
  </si>
  <si>
    <t>看病</t>
  </si>
  <si>
    <t>理财投资</t>
  </si>
  <si>
    <t>出售旧物</t>
  </si>
  <si>
    <t>卖自行车</t>
  </si>
  <si>
    <t>Q趣</t>
  </si>
  <si>
    <t>工资</t>
  </si>
  <si>
    <t>黄澄澄悦姐姐</t>
  </si>
  <si>
    <t>西瓜</t>
  </si>
  <si>
    <t>拼多多坚果</t>
  </si>
  <si>
    <t>酒+夜宵</t>
  </si>
  <si>
    <t>奶茶</t>
  </si>
  <si>
    <t>牛奶</t>
  </si>
  <si>
    <t>姐姐-鞋</t>
  </si>
  <si>
    <t>悦姐姐眼镜盒</t>
  </si>
  <si>
    <t>项链</t>
  </si>
  <si>
    <t>眼睛液</t>
  </si>
  <si>
    <t>花</t>
  </si>
  <si>
    <t>黄澄澄</t>
  </si>
  <si>
    <t>黄澄澄+张悦11</t>
  </si>
  <si>
    <t>李建峰</t>
  </si>
  <si>
    <t>一刻相册</t>
  </si>
  <si>
    <t>狼人杀</t>
  </si>
  <si>
    <t>环湖接力跑</t>
  </si>
  <si>
    <t>紫蓬山露营</t>
  </si>
  <si>
    <t>芜湖毅行</t>
  </si>
  <si>
    <t>野餐</t>
  </si>
  <si>
    <t>花+电影</t>
  </si>
  <si>
    <t>ktv</t>
  </si>
  <si>
    <t>六人间</t>
  </si>
  <si>
    <t>充电</t>
  </si>
  <si>
    <t>饭盒</t>
  </si>
  <si>
    <t>暖瓶内胆</t>
  </si>
  <si>
    <t>伞</t>
  </si>
  <si>
    <t>洗衣</t>
  </si>
  <si>
    <t>湿巾</t>
  </si>
  <si>
    <t>蛋白粉盒</t>
  </si>
  <si>
    <t>餐盒</t>
  </si>
  <si>
    <t>衣服</t>
  </si>
  <si>
    <t>数据线</t>
  </si>
  <si>
    <t>戒指</t>
  </si>
  <si>
    <t>遮阳伞</t>
  </si>
  <si>
    <t>补考费</t>
  </si>
  <si>
    <t>笔</t>
  </si>
  <si>
    <t>小龙虾</t>
  </si>
  <si>
    <t>请客</t>
  </si>
  <si>
    <t>水果+巧克力</t>
  </si>
  <si>
    <t>枸杞+水果</t>
  </si>
  <si>
    <t>水果+咖啡</t>
  </si>
  <si>
    <t>牛奶+咖啡</t>
  </si>
  <si>
    <t>咖啡</t>
  </si>
  <si>
    <t>咖啡+西瓜</t>
  </si>
  <si>
    <t>奶啤</t>
  </si>
  <si>
    <t>悦姐姐-生日+鞋</t>
  </si>
  <si>
    <t>充卡</t>
  </si>
  <si>
    <t>莉莉-海鲜自助</t>
  </si>
  <si>
    <t>网吧</t>
  </si>
  <si>
    <t>陶艺</t>
  </si>
  <si>
    <t>咖啡体验</t>
  </si>
  <si>
    <t>写真</t>
  </si>
  <si>
    <t>住宿</t>
  </si>
  <si>
    <t>挂钩</t>
  </si>
  <si>
    <t>美团</t>
  </si>
  <si>
    <t>剪头卡</t>
  </si>
  <si>
    <t>凉鞋+飞马37+ohsunny</t>
  </si>
  <si>
    <t>游泳套装</t>
  </si>
  <si>
    <t>一次性餐盒</t>
  </si>
  <si>
    <t>拼多多</t>
  </si>
  <si>
    <t>驾照套</t>
  </si>
  <si>
    <t>跳蛋</t>
  </si>
  <si>
    <t>咖啡杯</t>
  </si>
  <si>
    <t>杯子</t>
  </si>
  <si>
    <t>咖啡水壶</t>
  </si>
  <si>
    <t>科二模拟</t>
  </si>
  <si>
    <t>软件</t>
  </si>
  <si>
    <t>看眼睛</t>
  </si>
  <si>
    <t>岩馆兼职</t>
  </si>
  <si>
    <t>妈+爸</t>
  </si>
  <si>
    <t>鱼火锅</t>
  </si>
  <si>
    <t>冒菜充卡</t>
  </si>
  <si>
    <t>咖啡+拼多多</t>
  </si>
  <si>
    <t>水果零食菜</t>
  </si>
  <si>
    <t>咖啡粉</t>
  </si>
  <si>
    <t>茶叶+水果</t>
  </si>
  <si>
    <t>酸奶</t>
  </si>
  <si>
    <t>奶</t>
  </si>
  <si>
    <t>姐-鸭蛋</t>
  </si>
  <si>
    <t>墨镜</t>
  </si>
  <si>
    <t>三哥-生日</t>
  </si>
  <si>
    <t>李建峰-吃的</t>
  </si>
  <si>
    <t>请游泳</t>
  </si>
  <si>
    <t>网盘</t>
  </si>
  <si>
    <t>网易云</t>
  </si>
  <si>
    <t>猫咖</t>
  </si>
  <si>
    <t>卡丁车办卡</t>
  </si>
  <si>
    <t>游泳</t>
  </si>
  <si>
    <t>如家</t>
  </si>
  <si>
    <t>城市之家</t>
  </si>
  <si>
    <t>温度计+杯子</t>
  </si>
  <si>
    <t>套</t>
  </si>
  <si>
    <t>配钥匙</t>
  </si>
  <si>
    <t>空调费</t>
  </si>
  <si>
    <t>一套商务服</t>
  </si>
  <si>
    <t>漱口水+杯子</t>
  </si>
  <si>
    <t>奶泡器</t>
  </si>
  <si>
    <t>sm套装</t>
  </si>
  <si>
    <t>胶带</t>
  </si>
  <si>
    <t>托盘+桌布</t>
  </si>
  <si>
    <t>乳</t>
  </si>
  <si>
    <t>科三补考费+eviews</t>
  </si>
  <si>
    <t>游泳成人班</t>
  </si>
  <si>
    <t>科三补考费</t>
  </si>
  <si>
    <t>刮痧</t>
  </si>
  <si>
    <t>股市收益</t>
  </si>
  <si>
    <t>龙舟队训练费</t>
  </si>
  <si>
    <t>助理教练费</t>
  </si>
  <si>
    <t>南京</t>
  </si>
  <si>
    <t>去南京</t>
  </si>
  <si>
    <t>手机补贴</t>
  </si>
  <si>
    <t>吃</t>
  </si>
  <si>
    <t>口罩</t>
  </si>
  <si>
    <t>阿姨礼物</t>
  </si>
  <si>
    <t>七夕礼物</t>
  </si>
  <si>
    <t>烤肠</t>
  </si>
  <si>
    <t>相册</t>
  </si>
  <si>
    <t>鞋</t>
  </si>
  <si>
    <t>老哥生日</t>
  </si>
  <si>
    <t>王路辉-快递</t>
  </si>
  <si>
    <t>姐-烤肠</t>
  </si>
  <si>
    <t>密室逃脱</t>
  </si>
  <si>
    <t>电费</t>
  </si>
  <si>
    <t>电池</t>
  </si>
  <si>
    <t>洗面奶</t>
  </si>
  <si>
    <t>内存卡</t>
  </si>
  <si>
    <t>相册+火漆勺</t>
  </si>
  <si>
    <t>蜡粒</t>
  </si>
  <si>
    <t>润滑液</t>
  </si>
  <si>
    <t>套套</t>
  </si>
  <si>
    <t>绳缚教程</t>
  </si>
  <si>
    <t>阿达帕林</t>
  </si>
  <si>
    <t>药</t>
  </si>
  <si>
    <t>妈妈-盆栽</t>
  </si>
  <si>
    <t>妈妈-鱼</t>
  </si>
  <si>
    <t>妈-烤肠</t>
  </si>
  <si>
    <t>实习津贴</t>
  </si>
  <si>
    <t>苏州</t>
  </si>
  <si>
    <t>赖胖子肉蟹煲</t>
  </si>
  <si>
    <t>大润发</t>
  </si>
  <si>
    <t>苏州回合肥</t>
  </si>
  <si>
    <t>中秋回家</t>
  </si>
  <si>
    <t>优酷</t>
  </si>
  <si>
    <t>坐船</t>
  </si>
  <si>
    <t>拙政园</t>
  </si>
  <si>
    <t>卡丁车</t>
  </si>
  <si>
    <t>洗鞋</t>
  </si>
  <si>
    <t>换手机</t>
  </si>
  <si>
    <t>六级</t>
  </si>
  <si>
    <t>证券从业考试</t>
  </si>
  <si>
    <t>刮痧等</t>
  </si>
  <si>
    <t>医院</t>
  </si>
  <si>
    <t>攀岩馆</t>
  </si>
  <si>
    <t>爸妈</t>
  </si>
  <si>
    <t>转出</t>
  </si>
  <si>
    <t>卖鞋</t>
  </si>
  <si>
    <t>火锅</t>
  </si>
  <si>
    <t>奥运酒家</t>
  </si>
  <si>
    <t>攀岩</t>
  </si>
  <si>
    <t>换屏</t>
  </si>
  <si>
    <t>干洗</t>
  </si>
  <si>
    <t>医保</t>
  </si>
  <si>
    <t>银证转出</t>
  </si>
  <si>
    <t>银证转账</t>
  </si>
  <si>
    <t>龙舟队视频奖励</t>
  </si>
  <si>
    <t>小龙坎</t>
  </si>
  <si>
    <t>王肖旭来家吃饭</t>
  </si>
  <si>
    <t>opus酒吧</t>
  </si>
  <si>
    <t>锦江之星</t>
  </si>
  <si>
    <t>生活用具</t>
  </si>
  <si>
    <t>借款损失</t>
  </si>
  <si>
    <t>攀岩名次津贴</t>
  </si>
  <si>
    <t>蛋挞</t>
  </si>
  <si>
    <t>奶粉+买菜</t>
  </si>
  <si>
    <t>烧烤</t>
  </si>
  <si>
    <t>姐姐转账</t>
  </si>
  <si>
    <t>皮肤</t>
  </si>
  <si>
    <t>域名</t>
  </si>
  <si>
    <t>插排</t>
  </si>
  <si>
    <t>买床</t>
  </si>
  <si>
    <t>安装床</t>
  </si>
  <si>
    <t>买药</t>
  </si>
  <si>
    <t>学校补助</t>
  </si>
  <si>
    <t>平均</t>
  </si>
  <si>
    <t>——</t>
  </si>
</sst>
</file>

<file path=xl/styles.xml><?xml version="1.0" encoding="utf-8"?>
<styleSheet xmlns="http://schemas.openxmlformats.org/spreadsheetml/2006/main">
  <numFmts count="8">
    <numFmt numFmtId="44" formatCode="_ &quot;￥&quot;* #,##0.00_ ;_ &quot;￥&quot;* \-#,##0.00_ ;_ &quot;￥&quot;* &quot;-&quot;??_ ;_ @_ "/>
    <numFmt numFmtId="176" formatCode="0.00_ "/>
    <numFmt numFmtId="42" formatCode="_ &quot;￥&quot;* #,##0_ ;_ &quot;￥&quot;* \-#,##0_ ;_ &quot;￥&quot;* &quot;-&quot;_ ;_ @_ "/>
    <numFmt numFmtId="177" formatCode="yyyy/m/d;@"/>
    <numFmt numFmtId="178" formatCode="0.00_);[Red]\(0.00\)"/>
    <numFmt numFmtId="179" formatCode="yyyy&quot;年&quot;m&quot;月&quot;;@"/>
    <numFmt numFmtId="43" formatCode="_ * #,##0.00_ ;_ * \-#,##0.00_ ;_ * &quot;-&quot;??_ ;_ @_ "/>
    <numFmt numFmtId="41" formatCode="_ * #,##0_ ;_ * \-#,##0_ ;_ * &quot;-&quot;_ ;_ @_ "/>
  </numFmts>
  <fonts count="26">
    <font>
      <sz val="12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rgb="FF00B05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599993896298105"/>
        <bgColor indexed="64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theme="9"/>
      </left>
      <right/>
      <top style="thin">
        <color auto="1"/>
      </top>
      <bottom style="thin">
        <color theme="9"/>
      </bottom>
      <diagonal/>
    </border>
    <border>
      <left style="thin">
        <color auto="1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theme="9"/>
      </left>
      <right/>
      <top style="thin">
        <color theme="9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theme="9"/>
      </left>
      <right/>
      <top style="thin">
        <color theme="9" tint="0.4"/>
      </top>
      <bottom style="thin">
        <color theme="9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 style="thin">
        <color theme="9"/>
      </left>
      <right/>
      <top style="thin">
        <color auto="1"/>
      </top>
      <bottom style="thin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theme="9"/>
      </left>
      <right/>
      <top style="thin">
        <color auto="1"/>
      </top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0" fontId="9" fillId="18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12" fillId="9" borderId="25" applyNumberFormat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9" fillId="17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28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23" fillId="11" borderId="25" applyNumberFormat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7" fillId="15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8" fillId="0" borderId="22" applyNumberFormat="0" applyFill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2" borderId="27" applyNumberFormat="0" applyAlignment="0" applyProtection="0">
      <alignment vertical="center"/>
    </xf>
    <xf numFmtId="0" fontId="19" fillId="11" borderId="26" applyNumberFormat="0" applyAlignment="0" applyProtection="0">
      <alignment vertical="center"/>
    </xf>
    <xf numFmtId="0" fontId="13" fillId="0" borderId="2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0" fillId="4" borderId="23" applyNumberFormat="0" applyFon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0" fillId="0" borderId="24" applyNumberFormat="0" applyFill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17" fillId="0" borderId="28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7" fillId="2" borderId="0" applyNumberFormat="0" applyBorder="0" applyAlignment="0" applyProtection="0">
      <alignment vertical="center"/>
    </xf>
    <xf numFmtId="0" fontId="25" fillId="0" borderId="29" applyNumberFormat="0" applyFill="0" applyAlignment="0" applyProtection="0">
      <alignment vertical="center"/>
    </xf>
  </cellStyleXfs>
  <cellXfs count="81">
    <xf numFmtId="0" fontId="0" fillId="0" borderId="0" xfId="0">
      <alignment vertical="center"/>
    </xf>
    <xf numFmtId="0" fontId="1" fillId="0" borderId="0" xfId="0" applyFont="1" applyFill="1" applyAlignment="1">
      <alignment vertical="center"/>
    </xf>
    <xf numFmtId="177" fontId="1" fillId="0" borderId="1" xfId="0" applyNumberFormat="1" applyFont="1" applyFill="1" applyBorder="1" applyAlignment="1">
      <alignment horizontal="center" vertical="center"/>
    </xf>
    <xf numFmtId="177" fontId="1" fillId="0" borderId="2" xfId="0" applyNumberFormat="1" applyFont="1" applyFill="1" applyBorder="1" applyAlignment="1">
      <alignment horizontal="center" vertical="center"/>
    </xf>
    <xf numFmtId="179" fontId="0" fillId="0" borderId="3" xfId="0" applyNumberFormat="1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center"/>
    </xf>
    <xf numFmtId="178" fontId="2" fillId="0" borderId="2" xfId="0" applyNumberFormat="1" applyFont="1" applyFill="1" applyBorder="1" applyAlignment="1">
      <alignment horizontal="center" vertical="center"/>
    </xf>
    <xf numFmtId="2" fontId="1" fillId="0" borderId="4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center"/>
    </xf>
    <xf numFmtId="2" fontId="3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/>
    </xf>
    <xf numFmtId="178" fontId="1" fillId="0" borderId="4" xfId="0" applyNumberFormat="1" applyFont="1" applyFill="1" applyBorder="1" applyAlignment="1">
      <alignment horizontal="center" vertical="center" wrapText="1"/>
    </xf>
    <xf numFmtId="178" fontId="4" fillId="0" borderId="1" xfId="0" applyNumberFormat="1" applyFont="1" applyFill="1" applyBorder="1" applyAlignment="1">
      <alignment horizontal="center" vertical="center"/>
    </xf>
    <xf numFmtId="2" fontId="5" fillId="0" borderId="4" xfId="0" applyNumberFormat="1" applyFont="1" applyFill="1" applyBorder="1" applyAlignment="1">
      <alignment horizontal="center" vertical="center"/>
    </xf>
    <xf numFmtId="178" fontId="3" fillId="0" borderId="1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178" fontId="1" fillId="0" borderId="1" xfId="0" applyNumberFormat="1" applyFont="1" applyFill="1" applyBorder="1" applyAlignment="1">
      <alignment horizontal="center" vertical="top"/>
    </xf>
    <xf numFmtId="2" fontId="1" fillId="0" borderId="1" xfId="0" applyNumberFormat="1" applyFont="1" applyFill="1" applyBorder="1" applyAlignment="1">
      <alignment horizontal="center" vertical="center"/>
    </xf>
    <xf numFmtId="2" fontId="3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2" fontId="3" fillId="0" borderId="2" xfId="0" applyNumberFormat="1" applyFont="1" applyFill="1" applyBorder="1" applyAlignment="1">
      <alignment horizontal="center" vertical="center"/>
    </xf>
    <xf numFmtId="2" fontId="1" fillId="0" borderId="5" xfId="0" applyNumberFormat="1" applyFont="1" applyFill="1" applyBorder="1" applyAlignment="1">
      <alignment horizontal="center" vertical="center"/>
    </xf>
    <xf numFmtId="2" fontId="3" fillId="0" borderId="5" xfId="0" applyNumberFormat="1" applyFont="1" applyFill="1" applyBorder="1" applyAlignment="1">
      <alignment horizontal="center" vertical="center"/>
    </xf>
    <xf numFmtId="2" fontId="1" fillId="0" borderId="2" xfId="0" applyNumberFormat="1" applyFont="1" applyFill="1" applyBorder="1" applyAlignment="1">
      <alignment horizontal="center" vertical="center"/>
    </xf>
    <xf numFmtId="2" fontId="5" fillId="0" borderId="1" xfId="0" applyNumberFormat="1" applyFont="1" applyFill="1" applyBorder="1" applyAlignment="1">
      <alignment horizontal="center" vertical="center"/>
    </xf>
    <xf numFmtId="176" fontId="1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8" fontId="2" fillId="0" borderId="1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177" fontId="1" fillId="0" borderId="6" xfId="0" applyNumberFormat="1" applyFont="1" applyFill="1" applyBorder="1" applyAlignment="1">
      <alignment horizontal="center" vertical="center"/>
    </xf>
    <xf numFmtId="177" fontId="1" fillId="0" borderId="7" xfId="0" applyNumberFormat="1" applyFont="1" applyFill="1" applyBorder="1" applyAlignment="1">
      <alignment horizontal="center" vertical="center"/>
    </xf>
    <xf numFmtId="177" fontId="1" fillId="0" borderId="4" xfId="0" applyNumberFormat="1" applyFont="1" applyFill="1" applyBorder="1" applyAlignment="1">
      <alignment horizontal="center" vertical="center"/>
    </xf>
    <xf numFmtId="178" fontId="1" fillId="0" borderId="8" xfId="0" applyNumberFormat="1" applyFont="1" applyFill="1" applyBorder="1" applyAlignment="1">
      <alignment horizontal="center" vertical="center"/>
    </xf>
    <xf numFmtId="178" fontId="2" fillId="0" borderId="9" xfId="0" applyNumberFormat="1" applyFont="1" applyFill="1" applyBorder="1" applyAlignment="1">
      <alignment horizontal="center" vertical="center"/>
    </xf>
    <xf numFmtId="178" fontId="1" fillId="0" borderId="10" xfId="0" applyNumberFormat="1" applyFont="1" applyFill="1" applyBorder="1" applyAlignment="1">
      <alignment horizontal="center" vertical="center"/>
    </xf>
    <xf numFmtId="178" fontId="1" fillId="0" borderId="11" xfId="0" applyNumberFormat="1" applyFont="1" applyFill="1" applyBorder="1" applyAlignment="1">
      <alignment horizontal="center" vertical="center"/>
    </xf>
    <xf numFmtId="178" fontId="1" fillId="0" borderId="12" xfId="0" applyNumberFormat="1" applyFont="1" applyFill="1" applyBorder="1" applyAlignment="1">
      <alignment horizontal="center" vertical="center"/>
    </xf>
    <xf numFmtId="178" fontId="1" fillId="0" borderId="13" xfId="0" applyNumberFormat="1" applyFont="1" applyFill="1" applyBorder="1" applyAlignment="1">
      <alignment horizontal="center" vertical="center"/>
    </xf>
    <xf numFmtId="178" fontId="1" fillId="0" borderId="6" xfId="0" applyNumberFormat="1" applyFont="1" applyFill="1" applyBorder="1" applyAlignment="1">
      <alignment horizontal="center" vertical="center"/>
    </xf>
    <xf numFmtId="178" fontId="1" fillId="0" borderId="7" xfId="0" applyNumberFormat="1" applyFont="1" applyFill="1" applyBorder="1" applyAlignment="1">
      <alignment horizontal="center" vertical="center"/>
    </xf>
    <xf numFmtId="178" fontId="1" fillId="0" borderId="14" xfId="0" applyNumberFormat="1" applyFont="1" applyFill="1" applyBorder="1" applyAlignment="1">
      <alignment horizontal="center" vertical="center"/>
    </xf>
    <xf numFmtId="178" fontId="1" fillId="0" borderId="9" xfId="0" applyNumberFormat="1" applyFont="1" applyFill="1" applyBorder="1" applyAlignment="1">
      <alignment horizontal="center" vertical="center"/>
    </xf>
    <xf numFmtId="178" fontId="1" fillId="0" borderId="15" xfId="0" applyNumberFormat="1" applyFont="1" applyFill="1" applyBorder="1" applyAlignment="1">
      <alignment horizontal="center" vertical="center"/>
    </xf>
    <xf numFmtId="178" fontId="1" fillId="0" borderId="16" xfId="0" applyNumberFormat="1" applyFont="1" applyFill="1" applyBorder="1" applyAlignment="1">
      <alignment horizontal="center" vertical="center"/>
    </xf>
    <xf numFmtId="178" fontId="1" fillId="0" borderId="2" xfId="0" applyNumberFormat="1" applyFont="1" applyFill="1" applyBorder="1" applyAlignment="1">
      <alignment horizontal="center" vertical="top"/>
    </xf>
    <xf numFmtId="178" fontId="5" fillId="0" borderId="1" xfId="0" applyNumberFormat="1" applyFont="1" applyFill="1" applyBorder="1" applyAlignment="1">
      <alignment horizontal="center" vertical="center"/>
    </xf>
    <xf numFmtId="58" fontId="1" fillId="0" borderId="0" xfId="0" applyNumberFormat="1" applyFont="1" applyFill="1" applyAlignment="1">
      <alignment horizontal="center" vertical="center"/>
    </xf>
    <xf numFmtId="0" fontId="3" fillId="0" borderId="17" xfId="0" applyFont="1" applyFill="1" applyBorder="1" applyAlignment="1">
      <alignment vertical="center"/>
    </xf>
    <xf numFmtId="178" fontId="1" fillId="0" borderId="18" xfId="0" applyNumberFormat="1" applyFont="1" applyFill="1" applyBorder="1" applyAlignment="1">
      <alignment horizontal="center" vertical="center"/>
    </xf>
    <xf numFmtId="178" fontId="1" fillId="0" borderId="19" xfId="0" applyNumberFormat="1" applyFont="1" applyFill="1" applyBorder="1" applyAlignment="1">
      <alignment horizontal="center" vertical="center"/>
    </xf>
    <xf numFmtId="178" fontId="1" fillId="0" borderId="20" xfId="0" applyNumberFormat="1" applyFont="1" applyFill="1" applyBorder="1" applyAlignment="1">
      <alignment horizontal="center" vertical="center"/>
    </xf>
    <xf numFmtId="178" fontId="1" fillId="0" borderId="0" xfId="0" applyNumberFormat="1" applyFont="1" applyFill="1" applyBorder="1" applyAlignment="1">
      <alignment horizontal="center" vertical="center"/>
    </xf>
    <xf numFmtId="178" fontId="5" fillId="0" borderId="1" xfId="0" applyNumberFormat="1" applyFont="1" applyFill="1" applyBorder="1" applyAlignment="1">
      <alignment horizontal="center" vertical="top"/>
    </xf>
    <xf numFmtId="178" fontId="5" fillId="0" borderId="2" xfId="0" applyNumberFormat="1" applyFont="1" applyFill="1" applyBorder="1" applyAlignment="1">
      <alignment horizontal="center" vertical="top"/>
    </xf>
    <xf numFmtId="0" fontId="1" fillId="0" borderId="1" xfId="0" applyFont="1" applyFill="1" applyBorder="1" applyAlignment="1">
      <alignment vertical="center"/>
    </xf>
    <xf numFmtId="0" fontId="4" fillId="0" borderId="0" xfId="0" applyFont="1" applyFill="1" applyAlignment="1">
      <alignment horizontal="center" vertical="center"/>
    </xf>
    <xf numFmtId="178" fontId="1" fillId="0" borderId="1" xfId="0" applyNumberFormat="1" applyFont="1" applyFill="1" applyBorder="1" applyAlignment="1">
      <alignment vertical="top"/>
    </xf>
    <xf numFmtId="178" fontId="1" fillId="0" borderId="0" xfId="0" applyNumberFormat="1" applyFont="1" applyFill="1" applyAlignment="1">
      <alignment vertical="top"/>
    </xf>
    <xf numFmtId="0" fontId="1" fillId="0" borderId="13" xfId="0" applyFont="1" applyFill="1" applyBorder="1" applyAlignment="1">
      <alignment horizontal="center" vertical="center"/>
    </xf>
    <xf numFmtId="178" fontId="1" fillId="0" borderId="10" xfId="0" applyNumberFormat="1" applyFont="1" applyFill="1" applyBorder="1" applyAlignment="1">
      <alignment vertical="center"/>
    </xf>
    <xf numFmtId="178" fontId="1" fillId="0" borderId="20" xfId="0" applyNumberFormat="1" applyFont="1" applyFill="1" applyBorder="1" applyAlignment="1">
      <alignment vertical="center"/>
    </xf>
    <xf numFmtId="178" fontId="1" fillId="0" borderId="21" xfId="0" applyNumberFormat="1" applyFont="1" applyFill="1" applyBorder="1" applyAlignment="1">
      <alignment horizontal="center" vertical="center"/>
    </xf>
    <xf numFmtId="178" fontId="1" fillId="0" borderId="9" xfId="0" applyNumberFormat="1" applyFont="1" applyFill="1" applyBorder="1" applyAlignment="1">
      <alignment horizontal="center" vertical="center" wrapText="1"/>
    </xf>
    <xf numFmtId="178" fontId="6" fillId="0" borderId="12" xfId="0" applyNumberFormat="1" applyFont="1" applyFill="1" applyBorder="1" applyAlignment="1">
      <alignment horizontal="center" vertical="center"/>
    </xf>
    <xf numFmtId="178" fontId="3" fillId="0" borderId="2" xfId="0" applyNumberFormat="1" applyFont="1" applyFill="1" applyBorder="1" applyAlignment="1">
      <alignment horizontal="center" vertical="center"/>
    </xf>
    <xf numFmtId="0" fontId="1" fillId="0" borderId="2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3" fillId="0" borderId="0" xfId="0" applyFont="1" applyFill="1" applyAlignment="1">
      <alignment vertical="center"/>
    </xf>
    <xf numFmtId="0" fontId="3" fillId="0" borderId="0" xfId="0" applyFont="1" applyFill="1" applyBorder="1" applyAlignment="1">
      <alignment vertical="center"/>
    </xf>
    <xf numFmtId="177" fontId="1" fillId="0" borderId="19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vertical="center"/>
    </xf>
    <xf numFmtId="0" fontId="4" fillId="0" borderId="4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center" vertical="center"/>
    </xf>
    <xf numFmtId="177" fontId="1" fillId="0" borderId="11" xfId="0" applyNumberFormat="1" applyFont="1" applyFill="1" applyBorder="1" applyAlignment="1">
      <alignment horizontal="center" vertical="center"/>
    </xf>
    <xf numFmtId="177" fontId="1" fillId="0" borderId="20" xfId="0" applyNumberFormat="1" applyFont="1" applyFill="1" applyBorder="1" applyAlignment="1">
      <alignment horizontal="center" vertical="center"/>
    </xf>
    <xf numFmtId="0" fontId="3" fillId="0" borderId="17" xfId="0" applyFont="1" applyFill="1" applyBorder="1" applyAlignment="1">
      <alignment horizontal="center" vertical="center"/>
    </xf>
    <xf numFmtId="178" fontId="1" fillId="0" borderId="0" xfId="0" applyNumberFormat="1" applyFont="1" applyFill="1" applyAlignment="1">
      <alignment horizontal="center" vertical="top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5" Type="http://schemas.openxmlformats.org/officeDocument/2006/relationships/styles" Target="style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tabSelected="1" zoomScale="98" zoomScaleNormal="98" workbookViewId="0">
      <pane xSplit="26940" topLeftCell="AZ1" activePane="topLeft"/>
      <selection activeCell="AK22" sqref="AK22"/>
      <selection pane="topRight"/>
    </sheetView>
  </sheetViews>
  <sheetFormatPr defaultColWidth="9.11607142857143" defaultRowHeight="16.8"/>
  <cols>
    <col min="1" max="1" width="5.57142857142857" style="30" customWidth="1"/>
    <col min="2" max="2" width="14" style="30" customWidth="1"/>
    <col min="3" max="3" width="11" style="30" customWidth="1"/>
    <col min="4" max="4" width="8.07142857142857" style="30" customWidth="1"/>
    <col min="5" max="5" width="5.57142857142857" style="30" customWidth="1"/>
    <col min="6" max="6" width="6.21428571428571" style="30" customWidth="1"/>
    <col min="7" max="7" width="5.57142857142857" style="30" customWidth="1"/>
    <col min="8" max="8" width="6.21428571428571" style="30" customWidth="1"/>
    <col min="9" max="9" width="7.57142857142857" style="30" customWidth="1"/>
    <col min="10" max="10" width="7.14285714285714" style="30" customWidth="1"/>
    <col min="11" max="11" width="14" style="30" customWidth="1"/>
    <col min="12" max="12" width="5.28571428571429" style="30" customWidth="1"/>
    <col min="13" max="13" width="9.57142857142857" style="30" customWidth="1"/>
    <col min="14" max="14" width="7.14285714285714" style="30" customWidth="1"/>
    <col min="15" max="15" width="14" style="30" customWidth="1"/>
    <col min="16" max="16" width="7.14285714285714" style="30" customWidth="1"/>
    <col min="17" max="17" width="5.57142857142857" style="30" customWidth="1"/>
    <col min="18" max="18" width="7.14285714285714" style="30" customWidth="1"/>
    <col min="19" max="19" width="5.57142857142857" style="30" customWidth="1"/>
    <col min="20" max="20" width="7.14285714285714" style="30" customWidth="1"/>
    <col min="21" max="21" width="9.57142857142857" style="30" customWidth="1"/>
    <col min="22" max="22" width="7.14285714285714" style="30" customWidth="1"/>
    <col min="23" max="23" width="5.57142857142857" style="30" customWidth="1"/>
    <col min="24" max="24" width="6.21428571428571" style="30" customWidth="1"/>
    <col min="25" max="25" width="9.57142857142857" style="30" customWidth="1"/>
    <col min="26" max="26" width="6.21428571428571" style="30" customWidth="1"/>
    <col min="27" max="27" width="7.57142857142857" style="30" customWidth="1"/>
    <col min="28" max="28" width="7.14285714285714" style="30" customWidth="1"/>
    <col min="29" max="29" width="7.55357142857143" style="30" customWidth="1"/>
    <col min="30" max="30" width="7.14285714285714" style="30" customWidth="1"/>
    <col min="31" max="31" width="7.57142857142857" style="30" customWidth="1"/>
    <col min="32" max="32" width="6.21428571428571" style="30" customWidth="1"/>
    <col min="33" max="33" width="7.57142857142857" style="30" customWidth="1"/>
    <col min="34" max="34" width="5.28571428571429" style="30" customWidth="1"/>
    <col min="35" max="35" width="7.57142857142857" style="30" customWidth="1"/>
    <col min="36" max="36" width="7.14285714285714" style="30" customWidth="1"/>
    <col min="37" max="37" width="15.5" style="30" customWidth="1"/>
    <col min="38" max="38" width="7.14285714285714" style="30" customWidth="1"/>
    <col min="39" max="39" width="5.57142857142857" style="30" customWidth="1"/>
    <col min="40" max="40" width="6.21428571428571" style="30" customWidth="1"/>
    <col min="41" max="41" width="3.57142857142857" style="30" customWidth="1"/>
    <col min="42" max="42" width="7.78571428571429" style="30" customWidth="1"/>
    <col min="43" max="43" width="6.84821428571429" style="30" customWidth="1"/>
    <col min="44" max="44" width="7.14285714285714" style="30" customWidth="1"/>
    <col min="45" max="45" width="8.26785714285714" style="30" customWidth="1"/>
    <col min="46" max="46" width="6.21428571428571" style="30" customWidth="1"/>
    <col min="47" max="47" width="3.57142857142857" style="30" customWidth="1"/>
    <col min="48" max="48" width="7.14285714285714" style="30" customWidth="1"/>
    <col min="49" max="49" width="5.57142857142857" style="30" customWidth="1"/>
    <col min="50" max="50" width="7.14285714285714" style="30" customWidth="1"/>
    <col min="51" max="51" width="9.57142857142857" style="30" customWidth="1"/>
    <col min="52" max="52" width="8.07142857142857" style="30" customWidth="1"/>
    <col min="53" max="53" width="16.2142857142857" style="30" customWidth="1"/>
    <col min="54" max="54" width="7.14285714285714" style="30" customWidth="1"/>
    <col min="55" max="55" width="8.49107142857143" style="30" customWidth="1"/>
    <col min="56" max="56" width="5.28571428571429" style="30" customWidth="1"/>
    <col min="57" max="57" width="6.92857142857143" style="30" customWidth="1"/>
    <col min="58" max="58" width="7.14285714285714" style="30" customWidth="1"/>
    <col min="59" max="59" width="7.57142857142857" style="30" customWidth="1"/>
    <col min="60" max="60" width="7.14285714285714" style="30" customWidth="1"/>
    <col min="61" max="61" width="7.57142857142857" style="30" customWidth="1"/>
    <col min="62" max="62" width="7.14285714285714" style="30" customWidth="1"/>
    <col min="63" max="63" width="7.57142857142857" style="30" customWidth="1"/>
    <col min="64" max="64" width="7.14285714285714" style="30" customWidth="1"/>
    <col min="65" max="65" width="7.57142857142857" style="30" customWidth="1"/>
    <col min="66" max="66" width="14" style="30" customWidth="1"/>
    <col min="67" max="14413" width="8.24107142857143" style="30"/>
    <col min="14414" max="16384" width="9.11607142857143" style="30"/>
  </cols>
  <sheetData>
    <row r="1" s="30" customFormat="1" spans="3:58">
      <c r="C1" s="31"/>
      <c r="D1" s="31"/>
      <c r="E1" s="31"/>
      <c r="F1" s="31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28"/>
      <c r="T1" s="28"/>
      <c r="U1" s="28"/>
      <c r="V1" s="28"/>
      <c r="W1" s="28"/>
      <c r="X1" s="28"/>
      <c r="Y1" s="28"/>
      <c r="Z1" s="28"/>
      <c r="AK1" s="16"/>
      <c r="AL1" s="16"/>
      <c r="AO1" s="58" t="s">
        <v>0</v>
      </c>
      <c r="AP1" s="58"/>
      <c r="BA1" s="58"/>
      <c r="BB1" s="58"/>
      <c r="BE1" s="61"/>
      <c r="BF1" s="61"/>
    </row>
    <row r="2" s="30" customFormat="1" spans="1:66">
      <c r="A2" s="32"/>
      <c r="B2" s="33" t="s">
        <v>1</v>
      </c>
      <c r="C2" s="34">
        <v>44562</v>
      </c>
      <c r="D2" s="3"/>
      <c r="E2" s="34">
        <v>44563</v>
      </c>
      <c r="F2" s="3"/>
      <c r="G2" s="34">
        <v>44564</v>
      </c>
      <c r="H2" s="3"/>
      <c r="I2" s="34">
        <v>44565</v>
      </c>
      <c r="J2" s="3"/>
      <c r="K2" s="34">
        <v>44566</v>
      </c>
      <c r="L2" s="3"/>
      <c r="M2" s="34">
        <v>44567</v>
      </c>
      <c r="N2" s="3"/>
      <c r="O2" s="34">
        <v>44568</v>
      </c>
      <c r="P2" s="3"/>
      <c r="Q2" s="34">
        <v>44569</v>
      </c>
      <c r="R2" s="3"/>
      <c r="S2" s="34">
        <v>44570</v>
      </c>
      <c r="T2" s="3"/>
      <c r="U2" s="34">
        <v>44571</v>
      </c>
      <c r="V2" s="3"/>
      <c r="W2" s="34">
        <v>44572</v>
      </c>
      <c r="X2" s="3"/>
      <c r="Y2" s="34">
        <v>44573</v>
      </c>
      <c r="Z2" s="3"/>
      <c r="AA2" s="34">
        <v>44574</v>
      </c>
      <c r="AB2" s="3"/>
      <c r="AC2" s="34">
        <v>44575</v>
      </c>
      <c r="AD2" s="3"/>
      <c r="AE2" s="34">
        <v>44576</v>
      </c>
      <c r="AF2" s="3"/>
      <c r="AG2" s="34">
        <v>44577</v>
      </c>
      <c r="AH2" s="3"/>
      <c r="AI2" s="34">
        <v>44578</v>
      </c>
      <c r="AJ2" s="3"/>
      <c r="AK2" s="34">
        <v>44579</v>
      </c>
      <c r="AL2" s="3"/>
      <c r="AM2" s="34">
        <v>44580</v>
      </c>
      <c r="AN2" s="3"/>
      <c r="AO2" s="34">
        <v>44581</v>
      </c>
      <c r="AP2" s="3"/>
      <c r="AQ2" s="34">
        <v>44582</v>
      </c>
      <c r="AR2" s="3"/>
      <c r="AS2" s="34">
        <v>44583</v>
      </c>
      <c r="AT2" s="3"/>
      <c r="AU2" s="34">
        <v>44584</v>
      </c>
      <c r="AV2" s="3"/>
      <c r="AW2" s="34">
        <v>44585</v>
      </c>
      <c r="AX2" s="3"/>
      <c r="AY2" s="34">
        <v>44586</v>
      </c>
      <c r="AZ2" s="3"/>
      <c r="BA2" s="34">
        <v>44587</v>
      </c>
      <c r="BB2" s="3"/>
      <c r="BC2" s="34">
        <v>44588</v>
      </c>
      <c r="BD2" s="3"/>
      <c r="BE2" s="34">
        <v>44589</v>
      </c>
      <c r="BF2" s="3"/>
      <c r="BG2" s="34">
        <v>44590</v>
      </c>
      <c r="BH2" s="3"/>
      <c r="BI2" s="34">
        <v>44591</v>
      </c>
      <c r="BJ2" s="3"/>
      <c r="BK2" s="34">
        <v>44592</v>
      </c>
      <c r="BL2" s="3"/>
      <c r="BM2" s="34" t="s">
        <v>2</v>
      </c>
      <c r="BN2" s="2" t="s">
        <v>1</v>
      </c>
    </row>
    <row r="3" s="30" customFormat="1" spans="1:66">
      <c r="A3" s="35" t="s">
        <v>3</v>
      </c>
      <c r="B3" s="36" t="s">
        <v>4</v>
      </c>
      <c r="C3" s="35"/>
      <c r="D3" s="37"/>
      <c r="E3" s="51"/>
      <c r="F3" s="52"/>
      <c r="G3" s="15"/>
      <c r="H3" s="37"/>
      <c r="I3" s="35"/>
      <c r="J3" s="37"/>
      <c r="K3" s="35"/>
      <c r="L3" s="37"/>
      <c r="M3" s="35"/>
      <c r="N3" s="37"/>
      <c r="O3" s="35"/>
      <c r="P3" s="37"/>
      <c r="Q3" s="35"/>
      <c r="R3" s="37"/>
      <c r="S3" s="35"/>
      <c r="T3" s="37"/>
      <c r="U3" s="15"/>
      <c r="V3" s="37"/>
      <c r="W3" s="35"/>
      <c r="X3" s="37"/>
      <c r="Y3" s="35"/>
      <c r="Z3" s="15"/>
      <c r="AA3" s="35"/>
      <c r="AB3" s="15"/>
      <c r="AC3" s="35"/>
      <c r="AD3" s="15"/>
      <c r="AE3" s="35"/>
      <c r="AF3" s="15"/>
      <c r="AG3" s="35"/>
      <c r="AH3" s="15"/>
      <c r="AI3" s="35"/>
      <c r="AJ3" s="15"/>
      <c r="AK3" s="35"/>
      <c r="AL3" s="15"/>
      <c r="AM3" s="35"/>
      <c r="AN3" s="15"/>
      <c r="AO3" s="35"/>
      <c r="AP3" s="15">
        <v>9.5</v>
      </c>
      <c r="AQ3" s="35"/>
      <c r="AR3" s="15"/>
      <c r="AS3" s="35"/>
      <c r="AT3" s="15"/>
      <c r="AU3" s="35"/>
      <c r="AV3" s="37"/>
      <c r="AW3" s="15"/>
      <c r="AX3" s="37"/>
      <c r="AY3" s="35"/>
      <c r="AZ3" s="37"/>
      <c r="BA3" s="35"/>
      <c r="BB3" s="37"/>
      <c r="BC3" s="35"/>
      <c r="BD3" s="37"/>
      <c r="BE3" s="35"/>
      <c r="BF3" s="37"/>
      <c r="BG3" s="35"/>
      <c r="BH3" s="37"/>
      <c r="BI3" s="35"/>
      <c r="BJ3" s="37"/>
      <c r="BK3" s="35"/>
      <c r="BL3" s="37"/>
      <c r="BM3" s="7">
        <f>SUM(C3:BL6)</f>
        <v>672.1</v>
      </c>
      <c r="BN3" s="29" t="s">
        <v>4</v>
      </c>
    </row>
    <row r="4" s="30" customFormat="1" spans="1:66">
      <c r="A4" s="35"/>
      <c r="B4" s="36" t="s">
        <v>5</v>
      </c>
      <c r="C4" s="35"/>
      <c r="D4" s="37"/>
      <c r="E4" s="15"/>
      <c r="F4" s="37"/>
      <c r="G4" s="15"/>
      <c r="H4" s="37"/>
      <c r="I4" s="35"/>
      <c r="J4" s="37"/>
      <c r="K4" s="35"/>
      <c r="L4" s="37"/>
      <c r="M4" s="35"/>
      <c r="N4" s="37"/>
      <c r="O4" s="35"/>
      <c r="P4" s="37"/>
      <c r="Q4" s="35"/>
      <c r="R4" s="37"/>
      <c r="S4" s="35"/>
      <c r="T4" s="37"/>
      <c r="U4" s="15"/>
      <c r="V4" s="37"/>
      <c r="W4" s="35"/>
      <c r="X4" s="37"/>
      <c r="Y4" s="35"/>
      <c r="Z4" s="15">
        <v>20</v>
      </c>
      <c r="AA4" s="35"/>
      <c r="AB4" s="15"/>
      <c r="AC4" s="35"/>
      <c r="AD4" s="15"/>
      <c r="AE4" s="35"/>
      <c r="AF4" s="15"/>
      <c r="AG4" s="35"/>
      <c r="AH4" s="15"/>
      <c r="AI4" s="35"/>
      <c r="AJ4" s="15"/>
      <c r="AK4" s="35"/>
      <c r="AL4" s="15">
        <v>26</v>
      </c>
      <c r="AM4" s="35"/>
      <c r="AN4" s="15"/>
      <c r="AO4" s="35"/>
      <c r="AP4" s="15"/>
      <c r="AQ4" s="35"/>
      <c r="AR4" s="15"/>
      <c r="AS4" s="35"/>
      <c r="AT4" s="15"/>
      <c r="AU4" s="35"/>
      <c r="AV4" s="37"/>
      <c r="AW4" s="15"/>
      <c r="AX4" s="37"/>
      <c r="AY4" s="35"/>
      <c r="AZ4" s="37"/>
      <c r="BA4" s="35"/>
      <c r="BB4" s="37"/>
      <c r="BC4" s="35"/>
      <c r="BD4" s="37"/>
      <c r="BE4" s="35"/>
      <c r="BF4" s="37"/>
      <c r="BG4" s="35"/>
      <c r="BH4" s="37"/>
      <c r="BI4" s="35"/>
      <c r="BJ4" s="37"/>
      <c r="BK4" s="35"/>
      <c r="BL4" s="37"/>
      <c r="BM4" s="7"/>
      <c r="BN4" s="29" t="s">
        <v>5</v>
      </c>
    </row>
    <row r="5" s="30" customFormat="1" spans="1:66">
      <c r="A5" s="35"/>
      <c r="B5" s="36" t="s">
        <v>6</v>
      </c>
      <c r="C5" s="35"/>
      <c r="D5" s="15">
        <v>72</v>
      </c>
      <c r="E5" s="35"/>
      <c r="F5" s="15"/>
      <c r="G5" s="35"/>
      <c r="H5" s="15"/>
      <c r="I5" s="35"/>
      <c r="J5" s="37"/>
      <c r="K5" s="35"/>
      <c r="L5" s="37"/>
      <c r="M5" s="35" t="s">
        <v>7</v>
      </c>
      <c r="N5" s="37">
        <v>173</v>
      </c>
      <c r="O5" s="35"/>
      <c r="P5" s="37"/>
      <c r="Q5" s="35"/>
      <c r="R5" s="37"/>
      <c r="S5" s="35"/>
      <c r="T5" s="37"/>
      <c r="U5" s="15"/>
      <c r="V5" s="37"/>
      <c r="W5" s="35"/>
      <c r="X5" s="37"/>
      <c r="Y5" s="35"/>
      <c r="Z5" s="15"/>
      <c r="AA5" s="35"/>
      <c r="AB5" s="15"/>
      <c r="AC5" s="35"/>
      <c r="AD5" s="15"/>
      <c r="AE5" s="35"/>
      <c r="AF5" s="15"/>
      <c r="AG5" s="35"/>
      <c r="AH5" s="15"/>
      <c r="AI5" s="35"/>
      <c r="AJ5" s="15"/>
      <c r="AK5" s="35"/>
      <c r="AL5" s="15"/>
      <c r="AM5" s="35"/>
      <c r="AN5" s="15"/>
      <c r="AO5" s="35"/>
      <c r="AP5" s="15"/>
      <c r="AQ5" s="35"/>
      <c r="AR5" s="15"/>
      <c r="AS5" s="35"/>
      <c r="AT5" s="15"/>
      <c r="AU5" s="35"/>
      <c r="AV5" s="37"/>
      <c r="AW5" s="15"/>
      <c r="AX5" s="37"/>
      <c r="AY5" s="35"/>
      <c r="AZ5" s="37"/>
      <c r="BA5" s="35"/>
      <c r="BB5" s="37"/>
      <c r="BC5" s="35"/>
      <c r="BD5" s="37"/>
      <c r="BE5" s="35"/>
      <c r="BF5" s="37"/>
      <c r="BG5" s="35"/>
      <c r="BH5" s="37"/>
      <c r="BI5" s="35"/>
      <c r="BJ5" s="37"/>
      <c r="BK5" s="35"/>
      <c r="BL5" s="37"/>
      <c r="BM5" s="7"/>
      <c r="BN5" s="29" t="s">
        <v>6</v>
      </c>
    </row>
    <row r="6" s="30" customFormat="1" spans="1:66">
      <c r="A6" s="38"/>
      <c r="B6" s="39" t="s">
        <v>8</v>
      </c>
      <c r="C6" s="38"/>
      <c r="D6" s="40"/>
      <c r="E6" s="38"/>
      <c r="F6" s="40"/>
      <c r="G6" s="38" t="s">
        <v>9</v>
      </c>
      <c r="H6" s="40">
        <v>72.5</v>
      </c>
      <c r="I6" s="38" t="s">
        <v>10</v>
      </c>
      <c r="J6" s="53">
        <v>193.5</v>
      </c>
      <c r="K6" s="38"/>
      <c r="L6" s="53"/>
      <c r="M6" s="38"/>
      <c r="N6" s="53"/>
      <c r="O6" s="38"/>
      <c r="P6" s="53"/>
      <c r="Q6" s="38"/>
      <c r="R6" s="53"/>
      <c r="S6" s="38"/>
      <c r="T6" s="53"/>
      <c r="U6" s="40"/>
      <c r="V6" s="53"/>
      <c r="W6" s="38"/>
      <c r="X6" s="53">
        <v>18</v>
      </c>
      <c r="Y6" s="38"/>
      <c r="Z6" s="40">
        <v>9</v>
      </c>
      <c r="AA6" s="38"/>
      <c r="AB6" s="40">
        <v>28.6</v>
      </c>
      <c r="AC6" s="38"/>
      <c r="AD6" s="40"/>
      <c r="AE6" s="38"/>
      <c r="AF6" s="40"/>
      <c r="AG6" s="38"/>
      <c r="AH6" s="40"/>
      <c r="AI6" s="38"/>
      <c r="AJ6" s="40">
        <v>20</v>
      </c>
      <c r="AK6" s="38"/>
      <c r="AL6" s="40"/>
      <c r="AM6" s="38"/>
      <c r="AN6" s="40">
        <v>30</v>
      </c>
      <c r="AO6" s="38"/>
      <c r="AP6" s="40"/>
      <c r="AQ6" s="38"/>
      <c r="AR6" s="40"/>
      <c r="AS6" s="38"/>
      <c r="AT6" s="40"/>
      <c r="AU6" s="38"/>
      <c r="AV6" s="53"/>
      <c r="AW6" s="40"/>
      <c r="AX6" s="53"/>
      <c r="AY6" s="38"/>
      <c r="AZ6" s="53"/>
      <c r="BA6" s="38"/>
      <c r="BB6" s="53"/>
      <c r="BC6" s="38"/>
      <c r="BD6" s="53"/>
      <c r="BE6" s="38"/>
      <c r="BF6" s="53"/>
      <c r="BG6" s="38"/>
      <c r="BH6" s="53"/>
      <c r="BI6" s="38"/>
      <c r="BJ6" s="53"/>
      <c r="BK6" s="38"/>
      <c r="BL6" s="53"/>
      <c r="BM6" s="7"/>
      <c r="BN6" s="5" t="s">
        <v>8</v>
      </c>
    </row>
    <row r="7" s="30" customFormat="1" spans="1:66">
      <c r="A7" s="41" t="s">
        <v>11</v>
      </c>
      <c r="B7" s="42" t="s">
        <v>12</v>
      </c>
      <c r="C7" s="35"/>
      <c r="D7" s="37">
        <v>37</v>
      </c>
      <c r="E7" s="51"/>
      <c r="F7" s="51"/>
      <c r="G7" s="41"/>
      <c r="H7" s="52"/>
      <c r="I7" s="51"/>
      <c r="J7" s="52"/>
      <c r="K7" s="51"/>
      <c r="L7" s="52">
        <v>4</v>
      </c>
      <c r="M7" s="51"/>
      <c r="N7" s="37">
        <v>11.5</v>
      </c>
      <c r="O7" s="51"/>
      <c r="P7" s="52"/>
      <c r="Q7" s="51"/>
      <c r="R7" s="52"/>
      <c r="S7" s="51"/>
      <c r="T7" s="37"/>
      <c r="U7" s="51"/>
      <c r="V7" s="52"/>
      <c r="W7" s="41"/>
      <c r="X7" s="52"/>
      <c r="Y7" s="41"/>
      <c r="Z7" s="51">
        <v>4</v>
      </c>
      <c r="AA7" s="41"/>
      <c r="AB7" s="51"/>
      <c r="AC7" s="41"/>
      <c r="AD7" s="51"/>
      <c r="AE7" s="41"/>
      <c r="AF7" s="51"/>
      <c r="AG7" s="41"/>
      <c r="AH7" s="51"/>
      <c r="AI7" s="41"/>
      <c r="AJ7" s="51"/>
      <c r="AK7" s="41"/>
      <c r="AL7" s="51"/>
      <c r="AM7" s="41"/>
      <c r="AN7" s="51"/>
      <c r="AO7" s="41"/>
      <c r="AP7" s="51">
        <v>37.5</v>
      </c>
      <c r="AQ7" s="41"/>
      <c r="AR7" s="51"/>
      <c r="AS7" s="41"/>
      <c r="AT7" s="51"/>
      <c r="AU7" s="41"/>
      <c r="AV7" s="52"/>
      <c r="AW7" s="51"/>
      <c r="AX7" s="52"/>
      <c r="AY7" s="41"/>
      <c r="AZ7" s="52"/>
      <c r="BA7" s="41"/>
      <c r="BB7" s="52"/>
      <c r="BC7" s="41"/>
      <c r="BD7" s="52"/>
      <c r="BE7" s="41"/>
      <c r="BF7" s="52"/>
      <c r="BG7" s="41"/>
      <c r="BH7" s="52"/>
      <c r="BI7" s="41"/>
      <c r="BJ7" s="52"/>
      <c r="BK7" s="41"/>
      <c r="BL7" s="52"/>
      <c r="BM7" s="7">
        <f>SUM(C7:BL7)</f>
        <v>94</v>
      </c>
      <c r="BN7" s="5" t="s">
        <v>12</v>
      </c>
    </row>
    <row r="8" s="30" customFormat="1" spans="1:66">
      <c r="A8" s="35"/>
      <c r="B8" s="42" t="s">
        <v>13</v>
      </c>
      <c r="C8" s="35"/>
      <c r="D8" s="37"/>
      <c r="E8" s="15"/>
      <c r="F8" s="15"/>
      <c r="G8" s="35"/>
      <c r="H8" s="37"/>
      <c r="I8" s="15"/>
      <c r="J8" s="37"/>
      <c r="K8" s="15"/>
      <c r="L8" s="37"/>
      <c r="M8" s="15"/>
      <c r="N8" s="37"/>
      <c r="O8" s="15"/>
      <c r="P8" s="37"/>
      <c r="Q8" s="15"/>
      <c r="R8" s="37"/>
      <c r="S8" s="54"/>
      <c r="T8" s="37"/>
      <c r="U8" s="15"/>
      <c r="V8" s="37"/>
      <c r="W8" s="35"/>
      <c r="X8" s="37"/>
      <c r="Y8" s="35"/>
      <c r="Z8" s="15"/>
      <c r="AA8" s="35"/>
      <c r="AB8" s="15"/>
      <c r="AC8" s="35"/>
      <c r="AD8" s="15"/>
      <c r="AE8" s="35"/>
      <c r="AF8" s="15"/>
      <c r="AG8" s="35"/>
      <c r="AH8" s="15"/>
      <c r="AI8" s="35"/>
      <c r="AJ8" s="15"/>
      <c r="AK8" s="35"/>
      <c r="AL8" s="15"/>
      <c r="AM8" s="35"/>
      <c r="AN8" s="15"/>
      <c r="AO8" s="35"/>
      <c r="AP8" s="15"/>
      <c r="AQ8" s="35"/>
      <c r="AR8" s="15"/>
      <c r="AS8" s="35"/>
      <c r="AT8" s="15"/>
      <c r="AU8" s="35"/>
      <c r="AV8" s="37"/>
      <c r="AW8" s="15"/>
      <c r="AX8" s="37"/>
      <c r="AY8" s="35"/>
      <c r="AZ8" s="37"/>
      <c r="BA8" s="35"/>
      <c r="BB8" s="37"/>
      <c r="BC8" s="35"/>
      <c r="BD8" s="37"/>
      <c r="BE8" s="35"/>
      <c r="BF8" s="37"/>
      <c r="BG8" s="35"/>
      <c r="BH8" s="37"/>
      <c r="BI8" s="35"/>
      <c r="BJ8" s="37"/>
      <c r="BK8" s="35"/>
      <c r="BL8" s="37"/>
      <c r="BM8" s="7">
        <f>SUM(C8:BL8)</f>
        <v>0</v>
      </c>
      <c r="BN8" s="5" t="s">
        <v>13</v>
      </c>
    </row>
    <row r="9" s="30" customFormat="1" spans="1:66">
      <c r="A9" s="35"/>
      <c r="B9" s="42" t="s">
        <v>14</v>
      </c>
      <c r="C9" s="35" t="s">
        <v>15</v>
      </c>
      <c r="D9" s="37">
        <v>265</v>
      </c>
      <c r="E9" s="15"/>
      <c r="F9" s="15">
        <v>30</v>
      </c>
      <c r="G9" s="35"/>
      <c r="H9" s="37"/>
      <c r="I9" s="15"/>
      <c r="J9" s="37"/>
      <c r="K9" s="15"/>
      <c r="L9" s="37"/>
      <c r="M9" s="15"/>
      <c r="N9" s="37"/>
      <c r="O9" s="15"/>
      <c r="P9" s="37"/>
      <c r="Q9" s="15"/>
      <c r="R9" s="37"/>
      <c r="S9" s="54"/>
      <c r="T9" s="37"/>
      <c r="U9" s="15"/>
      <c r="V9" s="37"/>
      <c r="W9" s="35"/>
      <c r="X9" s="37"/>
      <c r="Y9" s="35"/>
      <c r="Z9" s="15"/>
      <c r="AA9" s="35"/>
      <c r="AB9" s="15">
        <v>150</v>
      </c>
      <c r="AC9" s="35"/>
      <c r="AD9" s="15"/>
      <c r="AE9" s="35"/>
      <c r="AF9" s="15"/>
      <c r="AG9" s="35"/>
      <c r="AH9" s="15"/>
      <c r="AI9" s="35"/>
      <c r="AJ9" s="15">
        <v>150</v>
      </c>
      <c r="AK9" s="35"/>
      <c r="AL9" s="15"/>
      <c r="AM9" s="35"/>
      <c r="AN9" s="15"/>
      <c r="AO9" s="35"/>
      <c r="AP9" s="15">
        <v>-200</v>
      </c>
      <c r="AQ9" s="35"/>
      <c r="AR9" s="15"/>
      <c r="AS9" s="35"/>
      <c r="AT9" s="15"/>
      <c r="AU9" s="35"/>
      <c r="AV9" s="37"/>
      <c r="AW9" s="15"/>
      <c r="AX9" s="37"/>
      <c r="AY9" s="35" t="s">
        <v>16</v>
      </c>
      <c r="AZ9" s="37">
        <v>20.8</v>
      </c>
      <c r="BA9" s="35"/>
      <c r="BB9" s="37"/>
      <c r="BC9" s="35"/>
      <c r="BD9" s="37">
        <v>7.8</v>
      </c>
      <c r="BE9" s="35" t="s">
        <v>17</v>
      </c>
      <c r="BF9" s="37">
        <v>100.8</v>
      </c>
      <c r="BG9" s="35"/>
      <c r="BH9" s="37"/>
      <c r="BI9" s="35"/>
      <c r="BJ9" s="37"/>
      <c r="BK9" s="35"/>
      <c r="BL9" s="37"/>
      <c r="BM9" s="7">
        <f>SUM(C9:BL9)</f>
        <v>524.4</v>
      </c>
      <c r="BN9" s="5" t="s">
        <v>14</v>
      </c>
    </row>
    <row r="10" s="30" customFormat="1" spans="1:66">
      <c r="A10" s="35"/>
      <c r="B10" s="44" t="s">
        <v>18</v>
      </c>
      <c r="C10" s="35"/>
      <c r="D10" s="37">
        <v>-34</v>
      </c>
      <c r="E10" s="15"/>
      <c r="F10" s="15"/>
      <c r="G10" s="35"/>
      <c r="H10" s="37"/>
      <c r="I10" s="15"/>
      <c r="J10" s="37"/>
      <c r="K10" s="15"/>
      <c r="L10" s="37"/>
      <c r="M10" s="15"/>
      <c r="N10" s="37"/>
      <c r="O10" s="15"/>
      <c r="P10" s="37"/>
      <c r="Q10" s="15"/>
      <c r="R10" s="37"/>
      <c r="S10" s="35"/>
      <c r="T10" s="37"/>
      <c r="U10" s="15"/>
      <c r="V10" s="37"/>
      <c r="W10" s="35"/>
      <c r="X10" s="37"/>
      <c r="Y10" s="35"/>
      <c r="Z10" s="15"/>
      <c r="AA10" s="35"/>
      <c r="AB10" s="15"/>
      <c r="AC10" s="35"/>
      <c r="AD10" s="15"/>
      <c r="AE10" s="35"/>
      <c r="AF10" s="15"/>
      <c r="AG10" s="35"/>
      <c r="AH10" s="15"/>
      <c r="AI10" s="35"/>
      <c r="AJ10" s="15"/>
      <c r="AK10" s="35"/>
      <c r="AL10" s="15"/>
      <c r="AM10" s="35"/>
      <c r="AN10" s="15"/>
      <c r="AO10" s="35"/>
      <c r="AP10" s="15"/>
      <c r="AQ10" s="35"/>
      <c r="AR10" s="15"/>
      <c r="AS10" s="35"/>
      <c r="AT10" s="15"/>
      <c r="AU10" s="35"/>
      <c r="AV10" s="37"/>
      <c r="AW10" s="15"/>
      <c r="AX10" s="37"/>
      <c r="AY10" s="35"/>
      <c r="AZ10" s="37"/>
      <c r="BA10" s="35"/>
      <c r="BB10" s="37"/>
      <c r="BC10" s="35"/>
      <c r="BD10" s="37"/>
      <c r="BE10" s="35"/>
      <c r="BF10" s="37"/>
      <c r="BG10" s="35"/>
      <c r="BH10" s="37"/>
      <c r="BI10" s="35"/>
      <c r="BJ10" s="37"/>
      <c r="BK10" s="35"/>
      <c r="BL10" s="37"/>
      <c r="BM10" s="7">
        <f t="shared" ref="BM10:BM23" si="0">SUM(C10:BL10)</f>
        <v>-34</v>
      </c>
      <c r="BN10" s="5" t="s">
        <v>19</v>
      </c>
    </row>
    <row r="11" s="30" customFormat="1" spans="1:66">
      <c r="A11" s="35"/>
      <c r="B11" s="45" t="s">
        <v>20</v>
      </c>
      <c r="C11" s="35"/>
      <c r="D11" s="37"/>
      <c r="E11" s="15"/>
      <c r="F11" s="15"/>
      <c r="G11" s="35"/>
      <c r="H11" s="37"/>
      <c r="I11" s="15"/>
      <c r="J11" s="15"/>
      <c r="K11" s="35"/>
      <c r="L11" s="37"/>
      <c r="M11" s="35"/>
      <c r="N11" s="37"/>
      <c r="O11" s="35"/>
      <c r="P11" s="37"/>
      <c r="Q11" s="35"/>
      <c r="R11" s="37"/>
      <c r="S11" s="35"/>
      <c r="T11" s="37"/>
      <c r="U11" s="15"/>
      <c r="V11" s="37"/>
      <c r="W11" s="35"/>
      <c r="X11" s="37"/>
      <c r="Y11" s="35" t="s">
        <v>21</v>
      </c>
      <c r="Z11" s="15">
        <v>38</v>
      </c>
      <c r="AA11" s="35"/>
      <c r="AB11" s="15"/>
      <c r="AC11" s="35"/>
      <c r="AD11" s="15"/>
      <c r="AE11" s="35"/>
      <c r="AF11" s="15"/>
      <c r="AG11" s="35"/>
      <c r="AH11" s="15"/>
      <c r="AI11" s="35"/>
      <c r="AJ11" s="15"/>
      <c r="AK11" s="35"/>
      <c r="AL11" s="15"/>
      <c r="AM11" s="35"/>
      <c r="AN11" s="15"/>
      <c r="AO11" s="35"/>
      <c r="AP11" s="15"/>
      <c r="AQ11" s="35"/>
      <c r="AR11" s="15"/>
      <c r="AS11" s="35"/>
      <c r="AT11" s="15"/>
      <c r="AU11" s="35"/>
      <c r="AV11" s="37"/>
      <c r="AW11" s="15"/>
      <c r="AX11" s="37"/>
      <c r="AY11" s="35"/>
      <c r="AZ11" s="37"/>
      <c r="BA11" s="35"/>
      <c r="BB11" s="37"/>
      <c r="BC11" s="35"/>
      <c r="BD11" s="37"/>
      <c r="BE11" s="35"/>
      <c r="BF11" s="37"/>
      <c r="BG11" s="35"/>
      <c r="BH11" s="37"/>
      <c r="BI11" s="35"/>
      <c r="BJ11" s="37"/>
      <c r="BK11" s="35"/>
      <c r="BL11" s="37"/>
      <c r="BM11" s="7">
        <f t="shared" si="0"/>
        <v>38</v>
      </c>
      <c r="BN11" s="5" t="s">
        <v>20</v>
      </c>
    </row>
    <row r="12" s="30" customFormat="1" spans="1:66">
      <c r="A12" s="35"/>
      <c r="B12" s="45" t="s">
        <v>22</v>
      </c>
      <c r="C12" s="35" t="s">
        <v>23</v>
      </c>
      <c r="D12" s="15">
        <v>39.8</v>
      </c>
      <c r="E12" s="35"/>
      <c r="F12" s="37"/>
      <c r="G12" s="35"/>
      <c r="H12" s="37"/>
      <c r="I12" s="35"/>
      <c r="J12" s="37"/>
      <c r="K12" s="35"/>
      <c r="L12" s="37"/>
      <c r="M12" s="35"/>
      <c r="N12" s="37"/>
      <c r="O12" s="35"/>
      <c r="P12" s="37"/>
      <c r="Q12" s="35"/>
      <c r="R12" s="37"/>
      <c r="S12" s="35"/>
      <c r="T12" s="37"/>
      <c r="U12" s="15"/>
      <c r="V12" s="37"/>
      <c r="W12" s="35"/>
      <c r="X12" s="37"/>
      <c r="Y12" s="35"/>
      <c r="Z12" s="15"/>
      <c r="AA12" s="35"/>
      <c r="AB12" s="15"/>
      <c r="AC12" s="35"/>
      <c r="AD12" s="15"/>
      <c r="AE12" s="35"/>
      <c r="AF12" s="15"/>
      <c r="AG12" s="35"/>
      <c r="AH12" s="15"/>
      <c r="AI12" s="35"/>
      <c r="AJ12" s="15"/>
      <c r="AK12" s="35"/>
      <c r="AL12" s="15"/>
      <c r="AM12" s="35"/>
      <c r="AN12" s="15"/>
      <c r="AO12" s="35"/>
      <c r="AP12" s="15"/>
      <c r="AQ12" s="35"/>
      <c r="AR12" s="15"/>
      <c r="AS12" s="35"/>
      <c r="AT12" s="15"/>
      <c r="AU12" s="35"/>
      <c r="AV12" s="37"/>
      <c r="AW12" s="15"/>
      <c r="AX12" s="37"/>
      <c r="AY12" s="35"/>
      <c r="AZ12" s="37"/>
      <c r="BA12" s="35"/>
      <c r="BB12" s="37"/>
      <c r="BC12" s="35"/>
      <c r="BD12" s="37"/>
      <c r="BE12" s="35"/>
      <c r="BF12" s="37"/>
      <c r="BG12" s="35"/>
      <c r="BH12" s="37"/>
      <c r="BI12" s="35" t="s">
        <v>24</v>
      </c>
      <c r="BJ12" s="37">
        <v>30</v>
      </c>
      <c r="BK12" s="35"/>
      <c r="BL12" s="37"/>
      <c r="BM12" s="7">
        <f t="shared" si="0"/>
        <v>69.8</v>
      </c>
      <c r="BN12" s="5" t="s">
        <v>22</v>
      </c>
    </row>
    <row r="13" s="30" customFormat="1" spans="1:66">
      <c r="A13" s="35"/>
      <c r="B13" s="45" t="s">
        <v>25</v>
      </c>
      <c r="C13" s="35"/>
      <c r="D13" s="15"/>
      <c r="E13" s="35"/>
      <c r="F13" s="37"/>
      <c r="G13" s="35"/>
      <c r="H13" s="37"/>
      <c r="I13" s="35"/>
      <c r="J13" s="37"/>
      <c r="K13" s="35"/>
      <c r="L13" s="37"/>
      <c r="M13" s="35"/>
      <c r="N13" s="37"/>
      <c r="O13" s="35"/>
      <c r="P13" s="37"/>
      <c r="Q13" s="35"/>
      <c r="R13" s="37"/>
      <c r="S13" s="35"/>
      <c r="T13" s="37"/>
      <c r="U13" s="15"/>
      <c r="V13" s="37"/>
      <c r="W13" s="35"/>
      <c r="X13" s="37"/>
      <c r="Y13" s="35"/>
      <c r="Z13" s="15"/>
      <c r="AA13" s="35"/>
      <c r="AB13" s="15"/>
      <c r="AC13" s="35"/>
      <c r="AD13" s="15"/>
      <c r="AE13" s="35"/>
      <c r="AF13" s="15"/>
      <c r="AG13" s="35"/>
      <c r="AH13" s="15"/>
      <c r="AI13" s="35"/>
      <c r="AJ13" s="15"/>
      <c r="AK13" s="35"/>
      <c r="AL13" s="15"/>
      <c r="AM13" s="35"/>
      <c r="AN13" s="15"/>
      <c r="AO13" s="35"/>
      <c r="AP13" s="15"/>
      <c r="AQ13" s="35"/>
      <c r="AR13" s="15"/>
      <c r="AS13" s="35"/>
      <c r="AT13" s="15"/>
      <c r="AU13" s="35"/>
      <c r="AV13" s="37"/>
      <c r="AW13" s="15"/>
      <c r="AX13" s="37"/>
      <c r="AY13" s="35"/>
      <c r="AZ13" s="37"/>
      <c r="BA13" s="35"/>
      <c r="BB13" s="37"/>
      <c r="BC13" s="35"/>
      <c r="BD13" s="37"/>
      <c r="BE13" s="35"/>
      <c r="BF13" s="37"/>
      <c r="BG13" s="35"/>
      <c r="BH13" s="37"/>
      <c r="BI13" s="35"/>
      <c r="BJ13" s="37"/>
      <c r="BK13" s="35"/>
      <c r="BL13" s="37"/>
      <c r="BM13" s="7">
        <f t="shared" si="0"/>
        <v>0</v>
      </c>
      <c r="BN13" s="5" t="s">
        <v>25</v>
      </c>
    </row>
    <row r="14" s="30" customFormat="1" spans="1:66">
      <c r="A14" s="10" t="s">
        <v>26</v>
      </c>
      <c r="B14" s="46" t="s">
        <v>27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  <c r="Q14" s="5"/>
      <c r="R14" s="10"/>
      <c r="S14" s="5"/>
      <c r="T14" s="10"/>
      <c r="U14" s="5"/>
      <c r="V14" s="10"/>
      <c r="W14" s="5"/>
      <c r="X14" s="10"/>
      <c r="Y14" s="5"/>
      <c r="Z14" s="10"/>
      <c r="AA14" s="5"/>
      <c r="AB14" s="10">
        <v>84.23</v>
      </c>
      <c r="AC14" s="5"/>
      <c r="AD14" s="10"/>
      <c r="AE14" s="5"/>
      <c r="AF14" s="10"/>
      <c r="AG14" s="5"/>
      <c r="AH14" s="10"/>
      <c r="AI14" s="5"/>
      <c r="AJ14" s="10"/>
      <c r="AK14" s="5" t="s">
        <v>28</v>
      </c>
      <c r="AL14" s="10">
        <v>33</v>
      </c>
      <c r="AM14" s="5"/>
      <c r="AN14" s="10"/>
      <c r="AO14" s="5"/>
      <c r="AP14" s="10"/>
      <c r="AQ14" s="5"/>
      <c r="AR14" s="10"/>
      <c r="AS14" s="5"/>
      <c r="AT14" s="10"/>
      <c r="AU14" s="5"/>
      <c r="AV14" s="10"/>
      <c r="AW14" s="5"/>
      <c r="AX14" s="10"/>
      <c r="AY14" s="5"/>
      <c r="AZ14" s="10"/>
      <c r="BA14" s="5"/>
      <c r="BB14" s="10"/>
      <c r="BC14" s="5"/>
      <c r="BD14" s="10"/>
      <c r="BE14" s="5"/>
      <c r="BF14" s="10"/>
      <c r="BG14" s="5"/>
      <c r="BH14" s="10"/>
      <c r="BI14" s="10"/>
      <c r="BJ14" s="10"/>
      <c r="BK14" s="10"/>
      <c r="BL14" s="10"/>
      <c r="BM14" s="7">
        <f t="shared" si="0"/>
        <v>117.23</v>
      </c>
      <c r="BN14" s="5" t="s">
        <v>27</v>
      </c>
    </row>
    <row r="15" s="30" customFormat="1" spans="1:66">
      <c r="A15" s="10" t="s">
        <v>29</v>
      </c>
      <c r="B15" s="46" t="s">
        <v>30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0</v>
      </c>
      <c r="BN15" s="5" t="s">
        <v>31</v>
      </c>
    </row>
    <row r="16" s="30" customFormat="1" spans="1:66">
      <c r="A16" s="10" t="s">
        <v>32</v>
      </c>
      <c r="B16" s="46" t="s">
        <v>33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/>
      <c r="BJ16" s="10"/>
      <c r="BK16" s="10"/>
      <c r="BL16" s="10"/>
      <c r="BM16" s="7">
        <f t="shared" si="0"/>
        <v>0</v>
      </c>
      <c r="BN16" s="5" t="s">
        <v>34</v>
      </c>
    </row>
    <row r="17" s="30" customFormat="1" spans="1:66">
      <c r="A17" s="10" t="s">
        <v>35</v>
      </c>
      <c r="B17" s="46" t="s">
        <v>36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0</v>
      </c>
      <c r="BN17" s="5" t="s">
        <v>36</v>
      </c>
    </row>
    <row r="18" s="30" customFormat="1" ht="17" spans="1:66">
      <c r="A18" s="11" t="s">
        <v>37</v>
      </c>
      <c r="B18" s="10" t="s">
        <v>38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 t="s">
        <v>39</v>
      </c>
      <c r="AL18" s="10">
        <v>173</v>
      </c>
      <c r="AM18" s="5"/>
      <c r="AN18" s="10">
        <v>30</v>
      </c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5"/>
      <c r="BL18" s="10"/>
      <c r="BM18" s="7">
        <f t="shared" si="0"/>
        <v>203</v>
      </c>
      <c r="BN18" s="5" t="s">
        <v>38</v>
      </c>
    </row>
    <row r="19" s="30" customFormat="1" spans="1:66">
      <c r="A19" s="10"/>
      <c r="B19" s="12" t="s">
        <v>40</v>
      </c>
      <c r="C19" s="10">
        <f>SUM(C3:D18)</f>
        <v>379.8</v>
      </c>
      <c r="D19" s="8"/>
      <c r="E19" s="10">
        <f>SUM(E3:F18)</f>
        <v>30</v>
      </c>
      <c r="F19" s="8"/>
      <c r="G19" s="10">
        <f>SUM(G3:H18)</f>
        <v>72.5</v>
      </c>
      <c r="H19" s="8"/>
      <c r="I19" s="10">
        <f>SUM(I3:J18)</f>
        <v>193.5</v>
      </c>
      <c r="J19" s="8"/>
      <c r="K19" s="10">
        <f>SUM(K3:L18)</f>
        <v>4</v>
      </c>
      <c r="L19" s="8"/>
      <c r="M19" s="10">
        <f>SUM(M3:N18)</f>
        <v>184.5</v>
      </c>
      <c r="N19" s="8"/>
      <c r="O19" s="10">
        <f>SUM(O3:P18)</f>
        <v>0</v>
      </c>
      <c r="P19" s="8"/>
      <c r="Q19" s="10">
        <f>SUM(Q3:R18)</f>
        <v>0</v>
      </c>
      <c r="R19" s="8"/>
      <c r="S19" s="10">
        <f>SUM(S3:T18)</f>
        <v>0</v>
      </c>
      <c r="T19" s="8"/>
      <c r="U19" s="10">
        <f>SUM(U3:V18)</f>
        <v>0</v>
      </c>
      <c r="V19" s="8"/>
      <c r="W19" s="10">
        <f>SUM(W3:X18)</f>
        <v>18</v>
      </c>
      <c r="X19" s="8"/>
      <c r="Y19" s="10">
        <f>SUM(Y3:Z18)</f>
        <v>71</v>
      </c>
      <c r="Z19" s="8"/>
      <c r="AA19" s="10">
        <f>SUM(AA3:AB18)</f>
        <v>262.83</v>
      </c>
      <c r="AB19" s="8"/>
      <c r="AC19" s="10">
        <f>SUM(AC3:AD18)</f>
        <v>0</v>
      </c>
      <c r="AD19" s="8"/>
      <c r="AE19" s="10">
        <f>SUM(AE3:AF18)</f>
        <v>0</v>
      </c>
      <c r="AF19" s="8"/>
      <c r="AG19" s="10">
        <f>SUM(AG3:AH18)</f>
        <v>0</v>
      </c>
      <c r="AH19" s="8"/>
      <c r="AI19" s="10">
        <f>SUM(AI3:AJ18)</f>
        <v>170</v>
      </c>
      <c r="AJ19" s="8"/>
      <c r="AK19" s="10">
        <f>SUM(AK3:AL18)</f>
        <v>232</v>
      </c>
      <c r="AL19" s="8"/>
      <c r="AM19" s="10">
        <f>SUM(AM3:AN18)</f>
        <v>60</v>
      </c>
      <c r="AN19" s="8"/>
      <c r="AO19" s="10">
        <f>SUM(AO3:AP18)</f>
        <v>-153</v>
      </c>
      <c r="AP19" s="8"/>
      <c r="AQ19" s="10">
        <f>SUM(AQ3:AR18)</f>
        <v>0</v>
      </c>
      <c r="AR19" s="8"/>
      <c r="AS19" s="10">
        <f>SUM(AS3:AT18)</f>
        <v>0</v>
      </c>
      <c r="AT19" s="8"/>
      <c r="AU19" s="10">
        <f>SUM(AU3:AV18)</f>
        <v>0</v>
      </c>
      <c r="AV19" s="8"/>
      <c r="AW19" s="10">
        <f>SUM(AW3:AX18)</f>
        <v>0</v>
      </c>
      <c r="AX19" s="8"/>
      <c r="AY19" s="10">
        <f>SUM(AY3:AZ18)</f>
        <v>20.8</v>
      </c>
      <c r="AZ19" s="8"/>
      <c r="BA19" s="10">
        <f>SUM(BA3:BB18)</f>
        <v>0</v>
      </c>
      <c r="BB19" s="8"/>
      <c r="BC19" s="10">
        <f>SUM(BC3:BD18)</f>
        <v>7.8</v>
      </c>
      <c r="BD19" s="8"/>
      <c r="BE19" s="10">
        <f>SUM(BE3:BF18)</f>
        <v>100.8</v>
      </c>
      <c r="BF19" s="8"/>
      <c r="BG19" s="10">
        <f>SUM(BG3:BH18)</f>
        <v>0</v>
      </c>
      <c r="BH19" s="8"/>
      <c r="BI19" s="10">
        <f>SUM(BI3:BJ18)</f>
        <v>30</v>
      </c>
      <c r="BJ19" s="8"/>
      <c r="BK19" s="10">
        <f>SUM(BK3:BL18)</f>
        <v>0</v>
      </c>
      <c r="BL19" s="8"/>
      <c r="BM19" s="13">
        <f t="shared" si="0"/>
        <v>1684.53</v>
      </c>
      <c r="BN19" s="12" t="s">
        <v>40</v>
      </c>
    </row>
    <row r="20" s="30" customFormat="1" spans="1:66">
      <c r="A20" s="5" t="s">
        <v>41</v>
      </c>
      <c r="B20" s="14" t="s">
        <v>42</v>
      </c>
      <c r="C20" s="17"/>
      <c r="D20" s="47"/>
      <c r="E20" s="17"/>
      <c r="F20" s="47"/>
      <c r="G20" s="17"/>
      <c r="H20" s="47"/>
      <c r="I20" s="17"/>
      <c r="J20" s="47"/>
      <c r="K20" s="17"/>
      <c r="L20" s="47"/>
      <c r="M20" s="17"/>
      <c r="N20" s="47"/>
      <c r="O20" s="17"/>
      <c r="P20" s="47"/>
      <c r="Q20" s="17"/>
      <c r="R20" s="47"/>
      <c r="S20" s="17"/>
      <c r="T20" s="47"/>
      <c r="U20" s="17"/>
      <c r="V20" s="47"/>
      <c r="Y20" s="17"/>
      <c r="Z20" s="47"/>
      <c r="AA20" s="17"/>
      <c r="AB20" s="47"/>
      <c r="AI20" s="17"/>
      <c r="AJ20" s="47"/>
      <c r="AK20" s="17"/>
      <c r="AL20" s="47"/>
      <c r="AM20" s="17"/>
      <c r="AN20" s="47"/>
      <c r="AO20" s="17"/>
      <c r="AP20" s="47"/>
      <c r="AQ20" s="17"/>
      <c r="AR20" s="47"/>
      <c r="AS20" s="17"/>
      <c r="AT20" s="47"/>
      <c r="AU20" s="17"/>
      <c r="AV20" s="47"/>
      <c r="AW20" s="17"/>
      <c r="AX20" s="47"/>
      <c r="AY20" s="17"/>
      <c r="AZ20" s="47"/>
      <c r="BA20" s="17"/>
      <c r="BB20" s="47"/>
      <c r="BC20" s="17"/>
      <c r="BD20" s="47"/>
      <c r="BE20" s="17"/>
      <c r="BF20" s="47"/>
      <c r="BG20" s="17"/>
      <c r="BH20" s="47"/>
      <c r="BI20" s="47"/>
      <c r="BJ20" s="47"/>
      <c r="BK20" s="47"/>
      <c r="BL20" s="47"/>
      <c r="BM20" s="7">
        <f t="shared" si="0"/>
        <v>0</v>
      </c>
      <c r="BN20" s="14" t="s">
        <v>42</v>
      </c>
    </row>
    <row r="21" s="30" customFormat="1" spans="1:66">
      <c r="A21" s="15"/>
      <c r="B21" s="14" t="s">
        <v>43</v>
      </c>
      <c r="C21" s="48"/>
      <c r="D21" s="48">
        <v>1800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55"/>
      <c r="X21" s="56"/>
      <c r="Y21" s="48"/>
      <c r="Z21" s="48"/>
      <c r="AA21" s="48"/>
      <c r="AB21" s="48"/>
      <c r="AC21" s="55"/>
      <c r="AD21" s="56"/>
      <c r="AE21" s="55"/>
      <c r="AF21" s="56"/>
      <c r="AG21" s="55"/>
      <c r="AH21" s="56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 t="s">
        <v>44</v>
      </c>
      <c r="BJ21" s="48">
        <v>200</v>
      </c>
      <c r="BK21" s="48"/>
      <c r="BL21" s="48"/>
      <c r="BM21" s="13">
        <f t="shared" si="0"/>
        <v>2000</v>
      </c>
      <c r="BN21" s="14" t="s">
        <v>43</v>
      </c>
    </row>
    <row r="22" s="30" customFormat="1" spans="1:66">
      <c r="A22" s="15"/>
      <c r="B22" s="16" t="s">
        <v>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16"/>
      <c r="AP22" s="16"/>
      <c r="AQ22" s="16"/>
      <c r="AR22" s="5"/>
      <c r="AS22" s="5"/>
      <c r="AT22" s="5"/>
      <c r="AU22" s="5"/>
      <c r="AV22" s="5"/>
      <c r="AW22" s="5"/>
      <c r="AX22" s="5"/>
      <c r="AY22" s="48"/>
      <c r="AZ22" s="48"/>
      <c r="BA22" s="5"/>
      <c r="BB22" s="5"/>
      <c r="BC22" s="5"/>
      <c r="BD22" s="17"/>
      <c r="BE22" s="17"/>
      <c r="BF22" s="17"/>
      <c r="BG22" s="17"/>
      <c r="BH22" s="17"/>
      <c r="BI22" s="17"/>
      <c r="BJ22" s="17"/>
      <c r="BK22" s="17"/>
      <c r="BL22" s="17"/>
      <c r="BM22" s="7">
        <f t="shared" si="0"/>
        <v>0</v>
      </c>
      <c r="BN22" s="16" t="s">
        <v>45</v>
      </c>
    </row>
    <row r="23" s="30" customFormat="1" spans="1:66">
      <c r="A23" s="15"/>
      <c r="B23" s="16" t="s">
        <v>46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16"/>
      <c r="AP23" s="16"/>
      <c r="AQ23" s="16"/>
      <c r="AR23" s="5"/>
      <c r="AS23" s="5"/>
      <c r="AT23" s="5"/>
      <c r="AU23" s="5"/>
      <c r="AV23" s="5"/>
      <c r="AW23" s="5"/>
      <c r="AX23" s="5"/>
      <c r="AY23" s="48" t="s">
        <v>47</v>
      </c>
      <c r="AZ23" s="48">
        <v>1500</v>
      </c>
      <c r="BA23" s="5" t="s">
        <v>48</v>
      </c>
      <c r="BB23" s="5">
        <v>500</v>
      </c>
      <c r="BC23" s="5"/>
      <c r="BD23" s="17"/>
      <c r="BE23" s="17"/>
      <c r="BF23" s="17"/>
      <c r="BG23" s="17"/>
      <c r="BH23" s="17"/>
      <c r="BI23" s="17"/>
      <c r="BJ23" s="17"/>
      <c r="BK23" s="17"/>
      <c r="BL23" s="17"/>
      <c r="BM23" s="7">
        <f t="shared" si="0"/>
        <v>2000</v>
      </c>
      <c r="BN23" s="16" t="s">
        <v>46</v>
      </c>
    </row>
    <row r="24" s="30" customFormat="1" ht="17.6" spans="1:65">
      <c r="A24" s="15"/>
      <c r="B24" s="21"/>
      <c r="C24" s="21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80"/>
      <c r="BE24" s="80"/>
      <c r="BF24" s="80"/>
      <c r="BG24" s="80"/>
      <c r="BH24" s="80"/>
      <c r="BI24" s="80"/>
      <c r="BJ24" s="80"/>
      <c r="BK24" s="80"/>
      <c r="BL24" s="80"/>
      <c r="BM24" s="80"/>
    </row>
    <row r="25" s="30" customFormat="1" ht="17.6" spans="1:65">
      <c r="A25" s="15"/>
      <c r="B25" s="21"/>
      <c r="C25" s="21"/>
      <c r="D25" s="49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80"/>
      <c r="BE25" s="80"/>
      <c r="BF25" s="80"/>
      <c r="BG25" s="80"/>
      <c r="BH25" s="80"/>
      <c r="BI25" s="80"/>
      <c r="BJ25" s="80"/>
      <c r="BK25" s="80"/>
      <c r="BL25" s="80"/>
      <c r="BM25" s="80"/>
    </row>
    <row r="26" s="30" customFormat="1" spans="1:65">
      <c r="A26" s="15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80"/>
      <c r="BE26" s="80"/>
      <c r="BF26" s="80"/>
      <c r="BG26" s="80"/>
      <c r="BH26" s="80"/>
      <c r="BI26" s="80"/>
      <c r="BJ26" s="80"/>
      <c r="BK26" s="80"/>
      <c r="BL26" s="80"/>
      <c r="BM26" s="80"/>
    </row>
    <row r="27" s="30" customFormat="1" spans="1:65">
      <c r="A27" s="15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30" customFormat="1" spans="1:65">
      <c r="A28" s="15"/>
      <c r="D28" s="15"/>
      <c r="E28" s="15"/>
      <c r="F28" s="15"/>
      <c r="G28" s="15"/>
      <c r="H28" s="15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30" customFormat="1" spans="1:65">
      <c r="A29" s="15"/>
      <c r="D29" s="15"/>
      <c r="E29" s="15"/>
      <c r="F29" s="15"/>
      <c r="G29" s="15"/>
      <c r="H29" s="15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30" customFormat="1" spans="1:65">
      <c r="A30" s="15"/>
      <c r="B30" s="15"/>
      <c r="C30" s="15"/>
      <c r="D30" s="15"/>
      <c r="E30" s="15"/>
      <c r="F30" s="15"/>
      <c r="G30" s="15"/>
      <c r="H30" s="15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30" customFormat="1" spans="1:65">
      <c r="A31" s="15"/>
      <c r="D31" s="15"/>
      <c r="E31" s="15"/>
      <c r="F31" s="15"/>
      <c r="G31" s="15"/>
      <c r="H31" s="15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30" customFormat="1" spans="1:65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</row>
    <row r="33" s="30" customFormat="1" spans="1:65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</row>
    <row r="34" s="30" customFormat="1" spans="1:65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</row>
    <row r="35" s="30" customFormat="1" spans="1:65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</row>
    <row r="36" s="30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67">
    <mergeCell ref="C1:F1"/>
    <mergeCell ref="AO1:AP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A3:A6"/>
    <mergeCell ref="A7:A13"/>
    <mergeCell ref="BM3:BM6"/>
  </mergeCells>
  <pageMargins left="0.75" right="0.75" top="1" bottom="1" header="0.511805555555556" footer="0.511805555555556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H36"/>
  <sheetViews>
    <sheetView zoomScale="90" zoomScaleNormal="90" topLeftCell="AT1" workbookViewId="0">
      <selection activeCell="AS27" sqref="AS27"/>
    </sheetView>
  </sheetViews>
  <sheetFormatPr defaultColWidth="9.11607142857143" defaultRowHeight="17.6"/>
  <cols>
    <col min="1" max="1" width="5.57142857142857" style="1" customWidth="1"/>
    <col min="2" max="2" width="14" style="1" customWidth="1"/>
    <col min="3" max="3" width="5.57142857142857" style="1" customWidth="1"/>
    <col min="4" max="4" width="7.14285714285714" style="1" customWidth="1"/>
    <col min="5" max="5" width="9.57142857142857" style="1" customWidth="1"/>
    <col min="6" max="6" width="7.14285714285714" style="1" customWidth="1"/>
    <col min="7" max="7" width="5.57142857142857" style="1" customWidth="1"/>
    <col min="8" max="8" width="8.07142857142857" style="1" customWidth="1"/>
    <col min="9" max="9" width="4.28571428571429" style="1" customWidth="1"/>
    <col min="10" max="10" width="3.63392857142857" style="1" customWidth="1"/>
    <col min="11" max="11" width="3.47321428571429" style="1" customWidth="1"/>
    <col min="12" max="12" width="6.10714285714286" style="1" customWidth="1"/>
    <col min="13" max="13" width="7.09821428571429" style="1" customWidth="1"/>
    <col min="14" max="14" width="5.94642857142857" style="1" customWidth="1"/>
    <col min="15" max="15" width="9.57142857142857" style="1" customWidth="1"/>
    <col min="16" max="16" width="6.21428571428571" style="1" customWidth="1"/>
    <col min="17" max="17" width="5.57142857142857" style="1" customWidth="1"/>
    <col min="18" max="18" width="7.78571428571429" style="1" customWidth="1"/>
    <col min="19" max="19" width="5.57142857142857" style="1" customWidth="1"/>
    <col min="20" max="20" width="6.21428571428571" style="1" customWidth="1"/>
    <col min="21" max="21" width="5.57142857142857" style="1" customWidth="1"/>
    <col min="22" max="22" width="6.21428571428571" style="1" customWidth="1"/>
    <col min="23" max="23" width="7.57142857142857" style="1" customWidth="1"/>
    <col min="24" max="24" width="7.14285714285714" style="1" customWidth="1"/>
    <col min="25" max="25" width="9.57142857142857" style="1" customWidth="1"/>
    <col min="26" max="26" width="7.14285714285714" style="1" customWidth="1"/>
    <col min="27" max="27" width="11.7142857142857" style="1" customWidth="1"/>
    <col min="28" max="28" width="7.14285714285714" style="1" customWidth="1"/>
    <col min="29" max="29" width="9.57142857142857" style="1" customWidth="1"/>
    <col min="30" max="30" width="7.14285714285714" style="1" customWidth="1"/>
    <col min="31" max="31" width="5.57142857142857" style="1" customWidth="1"/>
    <col min="32" max="32" width="8.07142857142857" style="1" customWidth="1"/>
    <col min="33" max="33" width="11.7142857142857" style="1" customWidth="1"/>
    <col min="34" max="34" width="6.21428571428571" style="1" customWidth="1"/>
    <col min="35" max="35" width="7.57142857142857" style="1" customWidth="1"/>
    <col min="36" max="36" width="8.07142857142857" style="1" customWidth="1"/>
    <col min="37" max="37" width="5.57142857142857" style="1" customWidth="1"/>
    <col min="38" max="38" width="6.21428571428571" style="1" customWidth="1"/>
    <col min="39" max="39" width="5.57142857142857" style="1" customWidth="1"/>
    <col min="40" max="40" width="6.21428571428571" style="1" customWidth="1"/>
    <col min="41" max="41" width="3.57142857142857" style="1" customWidth="1"/>
    <col min="42" max="42" width="8.07142857142857" style="1" customWidth="1"/>
    <col min="43" max="43" width="16.3035714285714" style="1" customWidth="1"/>
    <col min="44" max="44" width="7.78571428571429" style="1" customWidth="1"/>
    <col min="45" max="45" width="7.57142857142857" style="1" customWidth="1"/>
    <col min="46" max="46" width="6.21428571428571" style="1" customWidth="1"/>
    <col min="47" max="47" width="19.3928571428571" style="1" customWidth="1"/>
    <col min="48" max="48" width="7.14285714285714" style="1" customWidth="1"/>
    <col min="49" max="49" width="14" style="1" customWidth="1"/>
    <col min="50" max="50" width="7.14285714285714" style="1" customWidth="1"/>
    <col min="51" max="51" width="11" style="1" customWidth="1"/>
    <col min="52" max="52" width="7.14285714285714" style="1" customWidth="1"/>
    <col min="53" max="53" width="9.57142857142857" style="1" customWidth="1"/>
    <col min="54" max="54" width="7.14285714285714" style="1" customWidth="1"/>
    <col min="55" max="55" width="9.57142857142857" style="1" customWidth="1"/>
    <col min="56" max="56" width="6.21428571428571" style="1" customWidth="1"/>
    <col min="57" max="57" width="13.2857142857143" style="1" customWidth="1"/>
    <col min="58" max="58" width="6.21428571428571" style="1" customWidth="1"/>
    <col min="59" max="59" width="7.57142857142857" style="1" customWidth="1"/>
    <col min="60" max="60" width="14" style="1" customWidth="1"/>
    <col min="61" max="14407" width="8.24107142857143" style="1"/>
    <col min="14408" max="16378" width="9.11607142857143" style="1"/>
  </cols>
  <sheetData>
    <row r="1" s="1" customFormat="1" spans="3:58">
      <c r="C1" s="31"/>
      <c r="D1" s="31"/>
      <c r="E1" s="31"/>
      <c r="F1" s="31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/>
      <c r="T1"/>
      <c r="U1"/>
      <c r="V1"/>
      <c r="W1"/>
      <c r="X1"/>
      <c r="Y1"/>
      <c r="Z1"/>
      <c r="AK1"/>
      <c r="AL1"/>
      <c r="AQ1" s="73" t="s">
        <v>49</v>
      </c>
      <c r="AR1" s="73"/>
      <c r="AU1" s="73" t="s">
        <v>50</v>
      </c>
      <c r="AV1" s="74"/>
      <c r="AW1" s="75" t="s">
        <v>51</v>
      </c>
      <c r="AX1" s="76"/>
      <c r="AY1" s="74"/>
      <c r="AZ1" s="74"/>
      <c r="BA1" s="74"/>
      <c r="BB1" s="74"/>
      <c r="BC1" s="74"/>
      <c r="BD1" s="74"/>
      <c r="BE1" s="74"/>
      <c r="BF1" s="74"/>
    </row>
    <row r="2" s="1" customFormat="1" ht="16.8" spans="1:60">
      <c r="A2" s="32"/>
      <c r="B2" s="33" t="s">
        <v>1</v>
      </c>
      <c r="C2" s="34">
        <v>44228</v>
      </c>
      <c r="D2" s="3"/>
      <c r="E2" s="34">
        <v>44229</v>
      </c>
      <c r="F2" s="3"/>
      <c r="G2" s="34">
        <v>44230</v>
      </c>
      <c r="H2" s="3"/>
      <c r="I2" s="34">
        <v>44231</v>
      </c>
      <c r="J2" s="3"/>
      <c r="K2" s="34">
        <v>44232</v>
      </c>
      <c r="L2" s="3"/>
      <c r="M2" s="34">
        <v>44233</v>
      </c>
      <c r="N2" s="3"/>
      <c r="O2" s="34">
        <v>44234</v>
      </c>
      <c r="P2" s="3"/>
      <c r="Q2" s="34">
        <v>44235</v>
      </c>
      <c r="R2" s="3"/>
      <c r="S2" s="34">
        <v>44236</v>
      </c>
      <c r="T2" s="3"/>
      <c r="U2" s="34">
        <v>44237</v>
      </c>
      <c r="V2" s="3"/>
      <c r="W2" s="34">
        <v>44238</v>
      </c>
      <c r="X2" s="3"/>
      <c r="Y2" s="34">
        <v>44239</v>
      </c>
      <c r="Z2" s="3"/>
      <c r="AA2" s="34">
        <v>44240</v>
      </c>
      <c r="AB2" s="3"/>
      <c r="AC2" s="34">
        <v>44241</v>
      </c>
      <c r="AD2" s="3"/>
      <c r="AE2" s="34">
        <v>44242</v>
      </c>
      <c r="AF2" s="3"/>
      <c r="AG2" s="34">
        <v>44243</v>
      </c>
      <c r="AH2" s="3"/>
      <c r="AI2" s="34">
        <v>44244</v>
      </c>
      <c r="AJ2" s="3"/>
      <c r="AK2" s="34">
        <v>44245</v>
      </c>
      <c r="AL2" s="3"/>
      <c r="AM2" s="34">
        <v>44246</v>
      </c>
      <c r="AN2" s="3"/>
      <c r="AO2" s="34">
        <v>44247</v>
      </c>
      <c r="AP2" s="3"/>
      <c r="AQ2" s="2">
        <v>44248</v>
      </c>
      <c r="AR2" s="2"/>
      <c r="AS2" s="34">
        <v>44249</v>
      </c>
      <c r="AT2" s="3"/>
      <c r="AU2" s="34">
        <v>44250</v>
      </c>
      <c r="AV2" s="3"/>
      <c r="AW2" s="77">
        <v>44251</v>
      </c>
      <c r="AX2" s="78"/>
      <c r="AY2" s="77">
        <v>44252</v>
      </c>
      <c r="AZ2" s="78"/>
      <c r="BA2" s="77">
        <v>44253</v>
      </c>
      <c r="BB2" s="78"/>
      <c r="BC2" s="77">
        <v>44254</v>
      </c>
      <c r="BD2" s="78"/>
      <c r="BE2" s="77">
        <v>44255</v>
      </c>
      <c r="BF2" s="78"/>
      <c r="BG2" s="34" t="s">
        <v>2</v>
      </c>
      <c r="BH2" s="2" t="s">
        <v>1</v>
      </c>
    </row>
    <row r="3" s="1" customFormat="1" ht="16.8" spans="1:60">
      <c r="A3" s="35" t="s">
        <v>3</v>
      </c>
      <c r="B3" s="36" t="s">
        <v>4</v>
      </c>
      <c r="C3" s="35"/>
      <c r="D3" s="37"/>
      <c r="E3" s="51"/>
      <c r="F3" s="52"/>
      <c r="G3" s="15"/>
      <c r="H3" s="37"/>
      <c r="I3" s="35"/>
      <c r="J3" s="37"/>
      <c r="K3" s="35"/>
      <c r="L3" s="37"/>
      <c r="M3" s="35"/>
      <c r="N3" s="37"/>
      <c r="O3" s="35"/>
      <c r="P3" s="37"/>
      <c r="Q3" s="35"/>
      <c r="R3" s="37"/>
      <c r="S3" s="35"/>
      <c r="T3" s="37"/>
      <c r="U3" s="15"/>
      <c r="V3" s="37"/>
      <c r="W3" s="35"/>
      <c r="X3" s="37"/>
      <c r="Y3" s="35"/>
      <c r="Z3" s="15"/>
      <c r="AA3" s="35"/>
      <c r="AB3" s="15"/>
      <c r="AC3" s="35"/>
      <c r="AD3" s="15"/>
      <c r="AE3" s="35"/>
      <c r="AF3" s="15"/>
      <c r="AG3" s="35"/>
      <c r="AH3" s="15"/>
      <c r="AI3" s="35"/>
      <c r="AJ3" s="15"/>
      <c r="AK3" s="35"/>
      <c r="AL3" s="15"/>
      <c r="AM3" s="35"/>
      <c r="AN3" s="15"/>
      <c r="AO3" s="35"/>
      <c r="AP3" s="15"/>
      <c r="AQ3" s="35"/>
      <c r="AR3" s="15"/>
      <c r="AS3" s="35"/>
      <c r="AT3" s="15"/>
      <c r="AU3" s="35"/>
      <c r="AV3" s="37"/>
      <c r="AW3" s="15"/>
      <c r="AX3" s="37"/>
      <c r="AY3" s="35"/>
      <c r="AZ3" s="37"/>
      <c r="BA3" s="35"/>
      <c r="BB3" s="37"/>
      <c r="BC3" s="35"/>
      <c r="BD3" s="37"/>
      <c r="BE3" s="35"/>
      <c r="BF3" s="62"/>
      <c r="BG3" s="7">
        <f>SUM(C3:BF6)</f>
        <v>636.81</v>
      </c>
      <c r="BH3" s="29" t="s">
        <v>4</v>
      </c>
    </row>
    <row r="4" s="1" customFormat="1" ht="16.8" spans="1:60">
      <c r="A4" s="35"/>
      <c r="B4" s="36" t="s">
        <v>5</v>
      </c>
      <c r="C4" s="35"/>
      <c r="D4" s="37"/>
      <c r="E4" s="15"/>
      <c r="F4" s="37"/>
      <c r="G4" s="15"/>
      <c r="H4" s="37"/>
      <c r="I4" s="35"/>
      <c r="J4" s="37"/>
      <c r="K4" s="35"/>
      <c r="L4" s="37"/>
      <c r="M4" s="35"/>
      <c r="N4" s="37"/>
      <c r="O4" s="35"/>
      <c r="P4" s="37"/>
      <c r="Q4" s="35"/>
      <c r="R4" s="37"/>
      <c r="S4" s="35"/>
      <c r="T4" s="37"/>
      <c r="U4" s="15"/>
      <c r="V4" s="37"/>
      <c r="W4" s="35"/>
      <c r="X4" s="37"/>
      <c r="Y4" s="35"/>
      <c r="Z4" s="15"/>
      <c r="AA4" s="35"/>
      <c r="AB4" s="15"/>
      <c r="AC4" s="35"/>
      <c r="AD4" s="15"/>
      <c r="AE4" s="35"/>
      <c r="AF4" s="15"/>
      <c r="AG4" s="35"/>
      <c r="AH4" s="15"/>
      <c r="AI4" s="35"/>
      <c r="AJ4" s="15"/>
      <c r="AK4" s="35"/>
      <c r="AL4" s="15"/>
      <c r="AM4" s="35"/>
      <c r="AN4" s="15"/>
      <c r="AO4" s="35"/>
      <c r="AP4" s="15"/>
      <c r="AQ4" s="35"/>
      <c r="AR4" s="15"/>
      <c r="AS4" s="35"/>
      <c r="AT4" s="15"/>
      <c r="AU4" s="35"/>
      <c r="AV4" s="37">
        <v>69</v>
      </c>
      <c r="AW4" s="15"/>
      <c r="AX4" s="37"/>
      <c r="AY4" s="35" t="s">
        <v>52</v>
      </c>
      <c r="AZ4" s="37">
        <v>20.6</v>
      </c>
      <c r="BA4" s="35"/>
      <c r="BB4" s="37"/>
      <c r="BC4" s="35"/>
      <c r="BD4" s="37"/>
      <c r="BE4" s="35"/>
      <c r="BF4" s="62"/>
      <c r="BG4" s="7"/>
      <c r="BH4" s="29" t="s">
        <v>5</v>
      </c>
    </row>
    <row r="5" s="1" customFormat="1" ht="16.8" spans="1:60">
      <c r="A5" s="35"/>
      <c r="B5" s="36" t="s">
        <v>6</v>
      </c>
      <c r="C5" s="35"/>
      <c r="D5" s="15"/>
      <c r="E5" s="35"/>
      <c r="F5" s="15"/>
      <c r="G5" s="35"/>
      <c r="H5" s="15"/>
      <c r="I5" s="35"/>
      <c r="J5" s="37"/>
      <c r="K5" s="35"/>
      <c r="L5" s="37"/>
      <c r="M5" s="35"/>
      <c r="N5" s="37"/>
      <c r="O5" s="35"/>
      <c r="P5" s="37"/>
      <c r="Q5" s="35"/>
      <c r="R5" s="37"/>
      <c r="S5" s="35"/>
      <c r="T5" s="37"/>
      <c r="U5" s="15"/>
      <c r="V5" s="37"/>
      <c r="W5" s="35"/>
      <c r="X5" s="37"/>
      <c r="Y5" s="35"/>
      <c r="Z5" s="15"/>
      <c r="AA5" s="35"/>
      <c r="AB5" s="15"/>
      <c r="AC5" s="35"/>
      <c r="AD5" s="15"/>
      <c r="AE5" s="35"/>
      <c r="AF5" s="15"/>
      <c r="AG5" s="35"/>
      <c r="AH5" s="15"/>
      <c r="AI5" s="35"/>
      <c r="AJ5" s="15"/>
      <c r="AK5" s="35"/>
      <c r="AL5" s="15"/>
      <c r="AM5" s="35"/>
      <c r="AN5" s="15"/>
      <c r="AO5" s="35"/>
      <c r="AP5" s="15"/>
      <c r="AQ5" s="35"/>
      <c r="AR5" s="15">
        <v>150</v>
      </c>
      <c r="AS5" s="35"/>
      <c r="AT5" s="15"/>
      <c r="AU5" s="35"/>
      <c r="AV5" s="37"/>
      <c r="AW5" s="15"/>
      <c r="AX5" s="37"/>
      <c r="AY5" s="35"/>
      <c r="AZ5" s="37">
        <v>44</v>
      </c>
      <c r="BA5" s="35"/>
      <c r="BB5" s="37"/>
      <c r="BC5" s="35"/>
      <c r="BD5" s="37"/>
      <c r="BE5" s="35"/>
      <c r="BF5" s="62"/>
      <c r="BG5" s="7"/>
      <c r="BH5" s="29" t="s">
        <v>6</v>
      </c>
    </row>
    <row r="6" s="1" customFormat="1" ht="16.8" spans="1:60">
      <c r="A6" s="38"/>
      <c r="B6" s="39" t="s">
        <v>8</v>
      </c>
      <c r="C6" s="38"/>
      <c r="D6" s="40"/>
      <c r="E6" s="38"/>
      <c r="F6" s="40"/>
      <c r="G6" s="38"/>
      <c r="H6" s="40"/>
      <c r="I6" s="38"/>
      <c r="J6" s="53"/>
      <c r="K6" s="38"/>
      <c r="L6" s="53"/>
      <c r="M6" s="38"/>
      <c r="N6" s="53"/>
      <c r="O6" s="38"/>
      <c r="P6" s="53"/>
      <c r="Q6" s="38"/>
      <c r="R6" s="53"/>
      <c r="S6" s="38"/>
      <c r="T6" s="53">
        <v>30</v>
      </c>
      <c r="U6" s="40"/>
      <c r="V6" s="53"/>
      <c r="W6" s="38"/>
      <c r="X6" s="53"/>
      <c r="Y6" s="38"/>
      <c r="Z6" s="40"/>
      <c r="AA6" s="38"/>
      <c r="AB6" s="40"/>
      <c r="AC6" s="38"/>
      <c r="AD6" s="40"/>
      <c r="AE6" s="38"/>
      <c r="AF6" s="40"/>
      <c r="AG6" s="38"/>
      <c r="AH6" s="40"/>
      <c r="AI6" s="38"/>
      <c r="AJ6" s="40"/>
      <c r="AK6" s="38"/>
      <c r="AL6" s="40"/>
      <c r="AM6" s="38"/>
      <c r="AN6" s="40"/>
      <c r="AO6" s="38"/>
      <c r="AP6" s="40"/>
      <c r="AQ6" s="38"/>
      <c r="AR6" s="40"/>
      <c r="AS6" s="38" t="s">
        <v>9</v>
      </c>
      <c r="AT6" s="40">
        <v>70.9</v>
      </c>
      <c r="AU6" s="38"/>
      <c r="AV6" s="53"/>
      <c r="AW6" s="40" t="s">
        <v>53</v>
      </c>
      <c r="AX6" s="53">
        <v>44</v>
      </c>
      <c r="AY6" s="38" t="s">
        <v>10</v>
      </c>
      <c r="AZ6" s="53">
        <v>138.31</v>
      </c>
      <c r="BA6" s="38" t="s">
        <v>9</v>
      </c>
      <c r="BB6" s="53">
        <v>16</v>
      </c>
      <c r="BC6" s="38" t="s">
        <v>9</v>
      </c>
      <c r="BD6" s="53">
        <f>28+26</f>
        <v>54</v>
      </c>
      <c r="BE6" s="38"/>
      <c r="BF6" s="63"/>
      <c r="BG6" s="7"/>
      <c r="BH6" s="5" t="s">
        <v>8</v>
      </c>
    </row>
    <row r="7" s="1" customFormat="1" ht="16.8" spans="1:60">
      <c r="A7" s="41" t="s">
        <v>11</v>
      </c>
      <c r="B7" s="42" t="s">
        <v>12</v>
      </c>
      <c r="C7" s="35"/>
      <c r="D7" s="37"/>
      <c r="E7" s="51"/>
      <c r="F7" s="51"/>
      <c r="G7" s="41"/>
      <c r="H7" s="52"/>
      <c r="I7" s="51"/>
      <c r="J7" s="52"/>
      <c r="K7" s="51"/>
      <c r="L7" s="52"/>
      <c r="M7" s="51"/>
      <c r="N7" s="37"/>
      <c r="O7" s="51"/>
      <c r="P7" s="52"/>
      <c r="Q7" s="51"/>
      <c r="R7" s="52"/>
      <c r="S7" s="51"/>
      <c r="T7" s="37"/>
      <c r="U7" s="51"/>
      <c r="V7" s="52"/>
      <c r="W7" s="41"/>
      <c r="X7" s="52"/>
      <c r="Y7" s="41"/>
      <c r="Z7" s="51"/>
      <c r="AA7" s="41"/>
      <c r="AB7" s="51"/>
      <c r="AC7" s="41"/>
      <c r="AD7" s="51"/>
      <c r="AE7" s="41"/>
      <c r="AF7" s="51"/>
      <c r="AG7" s="41"/>
      <c r="AH7" s="51"/>
      <c r="AI7" s="41"/>
      <c r="AJ7" s="51"/>
      <c r="AK7" s="41"/>
      <c r="AL7" s="51"/>
      <c r="AM7" s="41"/>
      <c r="AN7" s="51"/>
      <c r="AO7" s="41"/>
      <c r="AP7" s="51"/>
      <c r="AQ7" s="41"/>
      <c r="AR7" s="51">
        <v>162</v>
      </c>
      <c r="AS7" s="41"/>
      <c r="AT7" s="51"/>
      <c r="AU7" s="41"/>
      <c r="AV7" s="52">
        <v>443.8</v>
      </c>
      <c r="AW7" s="51"/>
      <c r="AX7" s="52">
        <v>456</v>
      </c>
      <c r="AY7" s="41"/>
      <c r="AZ7" s="52"/>
      <c r="BA7" s="41"/>
      <c r="BB7" s="52">
        <v>12</v>
      </c>
      <c r="BC7" s="41"/>
      <c r="BD7" s="52"/>
      <c r="BE7" s="41"/>
      <c r="BF7" s="52">
        <v>36.5</v>
      </c>
      <c r="BG7" s="7">
        <f>SUM(C7:BF7)</f>
        <v>1110.3</v>
      </c>
      <c r="BH7" s="5" t="s">
        <v>12</v>
      </c>
    </row>
    <row r="8" s="1" customFormat="1" ht="16.8" spans="1:60">
      <c r="A8" s="35"/>
      <c r="B8" s="42" t="s">
        <v>13</v>
      </c>
      <c r="C8" s="35"/>
      <c r="D8" s="37"/>
      <c r="E8" s="15"/>
      <c r="F8" s="15"/>
      <c r="G8" s="35"/>
      <c r="H8" s="37"/>
      <c r="I8" s="15"/>
      <c r="J8" s="37"/>
      <c r="K8" s="15"/>
      <c r="L8" s="37"/>
      <c r="M8" s="15"/>
      <c r="N8" s="37"/>
      <c r="O8" s="15"/>
      <c r="P8" s="37"/>
      <c r="Q8" s="15"/>
      <c r="R8" s="37"/>
      <c r="S8" s="54"/>
      <c r="T8" s="37"/>
      <c r="U8" s="15"/>
      <c r="V8" s="37"/>
      <c r="W8" s="35"/>
      <c r="X8" s="37"/>
      <c r="Y8" s="35" t="s">
        <v>54</v>
      </c>
      <c r="Z8" s="15">
        <v>30</v>
      </c>
      <c r="AA8" s="35"/>
      <c r="AB8" s="15"/>
      <c r="AC8" s="35" t="s">
        <v>54</v>
      </c>
      <c r="AD8" s="15">
        <f>22+46.9+52</f>
        <v>120.9</v>
      </c>
      <c r="AE8" s="35"/>
      <c r="AF8" s="15"/>
      <c r="AG8" s="35"/>
      <c r="AH8" s="15">
        <v>33.9</v>
      </c>
      <c r="AI8" s="35"/>
      <c r="AJ8" s="15"/>
      <c r="AK8" s="35" t="s">
        <v>55</v>
      </c>
      <c r="AL8" s="15">
        <f>8.9+31</f>
        <v>39.9</v>
      </c>
      <c r="AM8" s="35"/>
      <c r="AN8" s="15">
        <v>16.6</v>
      </c>
      <c r="AO8" s="35"/>
      <c r="AP8" s="15"/>
      <c r="AQ8" s="35"/>
      <c r="AR8" s="15"/>
      <c r="AS8" s="35"/>
      <c r="AT8" s="15"/>
      <c r="AU8" s="35"/>
      <c r="AV8" s="37"/>
      <c r="AW8" s="15"/>
      <c r="AX8" s="37"/>
      <c r="AY8" s="35"/>
      <c r="AZ8" s="37"/>
      <c r="BA8" s="35"/>
      <c r="BB8" s="37"/>
      <c r="BC8" s="35"/>
      <c r="BD8" s="37"/>
      <c r="BE8" s="35"/>
      <c r="BF8" s="37"/>
      <c r="BG8" s="7">
        <f>SUM(C8:BF8)</f>
        <v>241.3</v>
      </c>
      <c r="BH8" s="5" t="s">
        <v>13</v>
      </c>
    </row>
    <row r="9" s="1" customFormat="1" ht="16.8" spans="1:60">
      <c r="A9" s="35"/>
      <c r="B9" s="42" t="s">
        <v>56</v>
      </c>
      <c r="C9" s="35" t="s">
        <v>57</v>
      </c>
      <c r="D9" s="37">
        <v>160</v>
      </c>
      <c r="E9" s="15"/>
      <c r="F9" s="15"/>
      <c r="G9" s="35" t="s">
        <v>57</v>
      </c>
      <c r="H9" s="37">
        <v>200</v>
      </c>
      <c r="I9" s="15"/>
      <c r="J9" s="37"/>
      <c r="K9" s="15"/>
      <c r="L9" s="37"/>
      <c r="M9" s="15"/>
      <c r="N9" s="37"/>
      <c r="O9" s="15" t="s">
        <v>58</v>
      </c>
      <c r="P9" s="37">
        <v>69</v>
      </c>
      <c r="Q9" s="15"/>
      <c r="R9" s="37">
        <v>-520</v>
      </c>
      <c r="S9" s="54" t="s">
        <v>52</v>
      </c>
      <c r="T9" s="37">
        <v>30</v>
      </c>
      <c r="U9" s="15"/>
      <c r="V9" s="37"/>
      <c r="W9" s="35"/>
      <c r="X9" s="37"/>
      <c r="Y9" s="35" t="s">
        <v>59</v>
      </c>
      <c r="Z9" s="15">
        <v>121</v>
      </c>
      <c r="AA9" s="35" t="s">
        <v>60</v>
      </c>
      <c r="AB9" s="15">
        <v>250.7</v>
      </c>
      <c r="AC9" s="35"/>
      <c r="AD9" s="15"/>
      <c r="AE9" s="35"/>
      <c r="AF9" s="15"/>
      <c r="AG9" s="35"/>
      <c r="AH9" s="15"/>
      <c r="AI9" s="35"/>
      <c r="AJ9" s="15"/>
      <c r="AK9" s="35"/>
      <c r="AL9" s="15"/>
      <c r="AM9" s="35"/>
      <c r="AN9" s="15"/>
      <c r="AO9" s="35"/>
      <c r="AP9" s="15"/>
      <c r="AQ9" s="35"/>
      <c r="AR9" s="15">
        <v>-500</v>
      </c>
      <c r="AS9" s="35" t="s">
        <v>61</v>
      </c>
      <c r="AT9" s="15">
        <v>48</v>
      </c>
      <c r="AU9" s="35"/>
      <c r="AV9" s="37"/>
      <c r="AW9" s="15" t="s">
        <v>62</v>
      </c>
      <c r="AX9" s="37">
        <v>12.9</v>
      </c>
      <c r="AY9" s="35"/>
      <c r="AZ9" s="37"/>
      <c r="BA9" s="35"/>
      <c r="BB9" s="37"/>
      <c r="BC9" s="35"/>
      <c r="BD9" s="37"/>
      <c r="BE9" s="35"/>
      <c r="BF9" s="37"/>
      <c r="BG9" s="7">
        <f>SUM(C9:BF9)</f>
        <v>-128.4</v>
      </c>
      <c r="BH9" s="5" t="s">
        <v>56</v>
      </c>
    </row>
    <row r="10" s="1" customFormat="1" ht="16.8" spans="1:60">
      <c r="A10" s="35"/>
      <c r="B10" s="44" t="s">
        <v>18</v>
      </c>
      <c r="C10" s="35"/>
      <c r="D10" s="37"/>
      <c r="E10" s="15"/>
      <c r="F10" s="15"/>
      <c r="G10" s="35"/>
      <c r="H10" s="37"/>
      <c r="I10" s="15"/>
      <c r="J10" s="37"/>
      <c r="K10" s="15"/>
      <c r="L10" s="37"/>
      <c r="M10" s="15"/>
      <c r="N10" s="37"/>
      <c r="O10" s="15" t="s">
        <v>63</v>
      </c>
      <c r="P10" s="37">
        <v>27</v>
      </c>
      <c r="Q10" s="15"/>
      <c r="R10" s="37"/>
      <c r="S10" s="35"/>
      <c r="T10" s="37"/>
      <c r="U10" s="15"/>
      <c r="V10" s="37"/>
      <c r="W10" s="35"/>
      <c r="X10" s="37"/>
      <c r="Y10" s="35"/>
      <c r="Z10" s="15"/>
      <c r="AA10" s="35"/>
      <c r="AB10" s="15"/>
      <c r="AC10" s="35"/>
      <c r="AD10" s="15"/>
      <c r="AE10" s="35"/>
      <c r="AF10" s="15"/>
      <c r="AG10" s="35"/>
      <c r="AH10" s="15"/>
      <c r="AI10" s="35"/>
      <c r="AJ10" s="15"/>
      <c r="AK10" s="35"/>
      <c r="AL10" s="15"/>
      <c r="AM10" s="35"/>
      <c r="AN10" s="15"/>
      <c r="AO10" s="35"/>
      <c r="AP10" s="15"/>
      <c r="AQ10" s="35"/>
      <c r="AR10" s="15"/>
      <c r="AS10" s="35"/>
      <c r="AT10" s="15"/>
      <c r="AU10" s="35"/>
      <c r="AV10" s="37"/>
      <c r="AW10" s="15" t="s">
        <v>64</v>
      </c>
      <c r="AX10" s="37">
        <v>105</v>
      </c>
      <c r="AY10" s="35"/>
      <c r="AZ10" s="37"/>
      <c r="BA10" s="35"/>
      <c r="BB10" s="37"/>
      <c r="BC10" s="35" t="s">
        <v>65</v>
      </c>
      <c r="BD10" s="37">
        <v>27</v>
      </c>
      <c r="BE10" s="35"/>
      <c r="BF10" s="37"/>
      <c r="BG10" s="7">
        <f t="shared" ref="BG10:BG23" si="0">SUM(C10:BF10)</f>
        <v>159</v>
      </c>
      <c r="BH10" s="5" t="s">
        <v>19</v>
      </c>
    </row>
    <row r="11" s="1" customFormat="1" ht="16.8" spans="1:60">
      <c r="A11" s="35"/>
      <c r="B11" s="45" t="s">
        <v>20</v>
      </c>
      <c r="C11" s="35"/>
      <c r="D11" s="37"/>
      <c r="E11" s="15"/>
      <c r="F11" s="15"/>
      <c r="G11" s="35"/>
      <c r="H11" s="37"/>
      <c r="I11" s="15"/>
      <c r="J11" s="15"/>
      <c r="K11" s="35"/>
      <c r="L11" s="37"/>
      <c r="M11" s="35"/>
      <c r="N11" s="37"/>
      <c r="O11" s="35"/>
      <c r="P11" s="37"/>
      <c r="Q11" s="35"/>
      <c r="R11" s="37"/>
      <c r="S11" s="35"/>
      <c r="T11" s="37"/>
      <c r="U11" s="15"/>
      <c r="V11" s="37"/>
      <c r="W11" s="35"/>
      <c r="X11" s="37"/>
      <c r="Y11" s="35"/>
      <c r="Z11" s="15"/>
      <c r="AA11" s="35"/>
      <c r="AB11" s="15"/>
      <c r="AC11" s="35"/>
      <c r="AD11" s="15"/>
      <c r="AE11" s="35"/>
      <c r="AF11" s="15"/>
      <c r="AG11" s="35"/>
      <c r="AH11" s="15"/>
      <c r="AI11" s="35"/>
      <c r="AJ11" s="15"/>
      <c r="AK11" s="35"/>
      <c r="AL11" s="15"/>
      <c r="AM11" s="35"/>
      <c r="AN11" s="15"/>
      <c r="AO11" s="35"/>
      <c r="AP11" s="15"/>
      <c r="AQ11" s="35"/>
      <c r="AR11" s="15"/>
      <c r="AS11" s="35"/>
      <c r="AT11" s="15"/>
      <c r="AU11" s="35"/>
      <c r="AV11" s="37"/>
      <c r="AW11" s="15"/>
      <c r="AX11" s="37"/>
      <c r="AY11" s="35"/>
      <c r="AZ11" s="37"/>
      <c r="BA11" s="35"/>
      <c r="BB11" s="37"/>
      <c r="BC11" s="35"/>
      <c r="BD11" s="37"/>
      <c r="BE11" s="35"/>
      <c r="BF11" s="37"/>
      <c r="BG11" s="7">
        <f t="shared" si="0"/>
        <v>0</v>
      </c>
      <c r="BH11" s="5" t="s">
        <v>20</v>
      </c>
    </row>
    <row r="12" s="1" customFormat="1" ht="16.8" spans="1:60">
      <c r="A12" s="35"/>
      <c r="B12" s="45" t="s">
        <v>22</v>
      </c>
      <c r="C12" s="35"/>
      <c r="D12" s="15"/>
      <c r="E12" s="35" t="s">
        <v>24</v>
      </c>
      <c r="F12" s="37">
        <v>15</v>
      </c>
      <c r="G12" s="35"/>
      <c r="H12" s="37"/>
      <c r="I12" s="35"/>
      <c r="J12" s="37"/>
      <c r="K12" s="35"/>
      <c r="L12" s="37"/>
      <c r="M12" s="35"/>
      <c r="N12" s="37"/>
      <c r="O12" s="35"/>
      <c r="P12" s="37"/>
      <c r="Q12" s="35"/>
      <c r="R12" s="37"/>
      <c r="S12" s="35"/>
      <c r="T12" s="37"/>
      <c r="U12" s="15"/>
      <c r="V12" s="37"/>
      <c r="W12" s="35"/>
      <c r="X12" s="37"/>
      <c r="Y12" s="35"/>
      <c r="Z12" s="15"/>
      <c r="AA12" s="35"/>
      <c r="AB12" s="15"/>
      <c r="AC12" s="35"/>
      <c r="AD12" s="15"/>
      <c r="AE12" s="35"/>
      <c r="AF12" s="15"/>
      <c r="AG12" s="35"/>
      <c r="AH12" s="15"/>
      <c r="AI12" s="35"/>
      <c r="AJ12" s="15"/>
      <c r="AK12" s="35"/>
      <c r="AL12" s="15"/>
      <c r="AM12" s="35"/>
      <c r="AN12" s="15"/>
      <c r="AO12" s="35"/>
      <c r="AP12" s="15"/>
      <c r="AQ12" s="35"/>
      <c r="AR12" s="15"/>
      <c r="AS12" s="35"/>
      <c r="AT12" s="15"/>
      <c r="AU12" s="35"/>
      <c r="AV12" s="37"/>
      <c r="AW12" s="15"/>
      <c r="AX12" s="37"/>
      <c r="AY12" s="35"/>
      <c r="AZ12" s="37"/>
      <c r="BA12" s="35"/>
      <c r="BB12" s="37"/>
      <c r="BC12" s="35"/>
      <c r="BD12" s="37"/>
      <c r="BE12" s="35"/>
      <c r="BF12" s="37"/>
      <c r="BG12" s="7">
        <f t="shared" si="0"/>
        <v>15</v>
      </c>
      <c r="BH12" s="5" t="s">
        <v>22</v>
      </c>
    </row>
    <row r="13" s="1" customFormat="1" ht="16.8" spans="1:60">
      <c r="A13" s="35"/>
      <c r="B13" s="45" t="s">
        <v>25</v>
      </c>
      <c r="C13" s="35"/>
      <c r="D13" s="15"/>
      <c r="E13" s="35"/>
      <c r="F13" s="37"/>
      <c r="G13" s="35"/>
      <c r="H13" s="37"/>
      <c r="I13" s="35"/>
      <c r="J13" s="37"/>
      <c r="K13" s="35"/>
      <c r="L13" s="37"/>
      <c r="M13" s="35"/>
      <c r="N13" s="37"/>
      <c r="O13" s="35"/>
      <c r="P13" s="37"/>
      <c r="Q13" s="35"/>
      <c r="R13" s="37"/>
      <c r="S13" s="35"/>
      <c r="T13" s="37"/>
      <c r="U13" s="15"/>
      <c r="V13" s="37"/>
      <c r="W13" s="35"/>
      <c r="X13" s="37"/>
      <c r="Y13" s="35"/>
      <c r="Z13" s="15"/>
      <c r="AA13" s="35"/>
      <c r="AB13" s="15"/>
      <c r="AC13" s="35"/>
      <c r="AD13" s="15"/>
      <c r="AE13" s="35"/>
      <c r="AF13" s="15"/>
      <c r="AG13" s="35"/>
      <c r="AH13" s="15"/>
      <c r="AI13" s="35" t="s">
        <v>66</v>
      </c>
      <c r="AJ13" s="15">
        <v>1550</v>
      </c>
      <c r="AK13" s="35"/>
      <c r="AL13" s="15"/>
      <c r="AM13" s="35"/>
      <c r="AN13" s="15"/>
      <c r="AO13" s="35"/>
      <c r="AP13" s="15"/>
      <c r="AQ13" s="35"/>
      <c r="AR13" s="15"/>
      <c r="AS13" s="35"/>
      <c r="AT13" s="15"/>
      <c r="AU13" s="35"/>
      <c r="AV13" s="37">
        <v>170</v>
      </c>
      <c r="AW13" s="15"/>
      <c r="AX13" s="37"/>
      <c r="AY13" s="35"/>
      <c r="AZ13" s="37"/>
      <c r="BA13" s="35"/>
      <c r="BB13" s="37"/>
      <c r="BC13" s="35"/>
      <c r="BD13" s="37"/>
      <c r="BE13" s="35"/>
      <c r="BF13" s="37"/>
      <c r="BG13" s="7">
        <f t="shared" si="0"/>
        <v>1720</v>
      </c>
      <c r="BH13" s="5" t="s">
        <v>25</v>
      </c>
    </row>
    <row r="14" s="1" customFormat="1" ht="16.8" spans="1:60">
      <c r="A14" s="10" t="s">
        <v>26</v>
      </c>
      <c r="B14" s="46" t="s">
        <v>27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  <c r="Q14" s="5"/>
      <c r="R14" s="10"/>
      <c r="S14" s="5"/>
      <c r="T14" s="10"/>
      <c r="U14" s="5" t="s">
        <v>67</v>
      </c>
      <c r="V14" s="10">
        <v>34</v>
      </c>
      <c r="W14" s="5"/>
      <c r="X14" s="10"/>
      <c r="Y14" s="5"/>
      <c r="Z14" s="10"/>
      <c r="AA14" s="5"/>
      <c r="AB14" s="10"/>
      <c r="AC14" s="5"/>
      <c r="AD14" s="10"/>
      <c r="AE14" s="5"/>
      <c r="AF14" s="10"/>
      <c r="AG14" s="5"/>
      <c r="AH14" s="10"/>
      <c r="AI14" s="5" t="s">
        <v>68</v>
      </c>
      <c r="AJ14" s="10">
        <v>70.5</v>
      </c>
      <c r="AK14" s="5" t="s">
        <v>69</v>
      </c>
      <c r="AL14" s="10">
        <v>10</v>
      </c>
      <c r="AM14" s="5"/>
      <c r="AN14" s="10"/>
      <c r="AO14" s="5"/>
      <c r="AP14" s="10"/>
      <c r="AQ14" s="5"/>
      <c r="AR14" s="10"/>
      <c r="AS14" s="5"/>
      <c r="AT14" s="10">
        <v>3.5</v>
      </c>
      <c r="AU14" s="5"/>
      <c r="AV14" s="10"/>
      <c r="AW14" s="5" t="s">
        <v>70</v>
      </c>
      <c r="AX14" s="10">
        <v>55</v>
      </c>
      <c r="AY14" s="5" t="s">
        <v>71</v>
      </c>
      <c r="AZ14" s="10">
        <f>65+62+3</f>
        <v>130</v>
      </c>
      <c r="BA14" s="5"/>
      <c r="BB14" s="10"/>
      <c r="BC14" s="5"/>
      <c r="BD14" s="10"/>
      <c r="BE14" s="5"/>
      <c r="BF14" s="10"/>
      <c r="BG14" s="7">
        <f t="shared" si="0"/>
        <v>303</v>
      </c>
      <c r="BH14" s="5" t="s">
        <v>27</v>
      </c>
    </row>
    <row r="15" s="1" customFormat="1" ht="16.8" spans="1:60">
      <c r="A15" s="10" t="s">
        <v>29</v>
      </c>
      <c r="B15" s="46" t="s">
        <v>30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7">
        <f t="shared" si="0"/>
        <v>0</v>
      </c>
      <c r="BH15" s="5" t="s">
        <v>31</v>
      </c>
    </row>
    <row r="16" s="1" customFormat="1" ht="16.8" spans="1:60">
      <c r="A16" s="10" t="s">
        <v>32</v>
      </c>
      <c r="B16" s="46" t="s">
        <v>33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>
        <v>4.7</v>
      </c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 t="s">
        <v>72</v>
      </c>
      <c r="AT16" s="10">
        <v>9.4</v>
      </c>
      <c r="AU16" s="5"/>
      <c r="AV16" s="10"/>
      <c r="AW16" s="5"/>
      <c r="AX16" s="10">
        <f>6.9+4.7+4.9</f>
        <v>16.5</v>
      </c>
      <c r="AY16" s="5" t="s">
        <v>73</v>
      </c>
      <c r="AZ16" s="10">
        <v>55</v>
      </c>
      <c r="BA16" s="5"/>
      <c r="BB16" s="10"/>
      <c r="BC16" s="5"/>
      <c r="BD16" s="10"/>
      <c r="BE16" s="5"/>
      <c r="BF16" s="10"/>
      <c r="BG16" s="7">
        <f t="shared" si="0"/>
        <v>85.6</v>
      </c>
      <c r="BH16" s="5" t="s">
        <v>34</v>
      </c>
    </row>
    <row r="17" s="1" customFormat="1" ht="16.8" spans="1:60">
      <c r="A17" s="10" t="s">
        <v>35</v>
      </c>
      <c r="B17" s="46" t="s">
        <v>36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 t="s">
        <v>74</v>
      </c>
      <c r="BB17" s="10">
        <v>120</v>
      </c>
      <c r="BC17" s="5" t="s">
        <v>74</v>
      </c>
      <c r="BD17" s="10">
        <v>65</v>
      </c>
      <c r="BE17" s="5"/>
      <c r="BF17" s="10"/>
      <c r="BG17" s="7">
        <f t="shared" si="0"/>
        <v>185</v>
      </c>
      <c r="BH17" s="5" t="s">
        <v>36</v>
      </c>
    </row>
    <row r="18" s="1" customFormat="1" ht="17" spans="1:60">
      <c r="A18" s="11" t="s">
        <v>37</v>
      </c>
      <c r="B18" s="10" t="s">
        <v>38</v>
      </c>
      <c r="C18" s="5"/>
      <c r="D18" s="10">
        <v>17</v>
      </c>
      <c r="E18" s="5" t="s">
        <v>75</v>
      </c>
      <c r="F18" s="10">
        <v>169</v>
      </c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 t="s">
        <v>76</v>
      </c>
      <c r="Z18" s="10">
        <v>133</v>
      </c>
      <c r="AA18" s="5"/>
      <c r="AB18" s="10"/>
      <c r="AC18" s="5"/>
      <c r="AD18" s="10">
        <v>8</v>
      </c>
      <c r="AE18" s="5" t="s">
        <v>77</v>
      </c>
      <c r="AF18" s="10">
        <v>716</v>
      </c>
      <c r="AG18" s="5"/>
      <c r="AH18" s="10"/>
      <c r="AI18" s="5"/>
      <c r="AJ18" s="10">
        <v>24</v>
      </c>
      <c r="AK18" s="5"/>
      <c r="AL18" s="10"/>
      <c r="AM18" s="5"/>
      <c r="AN18" s="10">
        <v>35</v>
      </c>
      <c r="AO18" s="5"/>
      <c r="AP18" s="10"/>
      <c r="AQ18" s="5"/>
      <c r="AR18" s="10"/>
      <c r="AS18" s="5"/>
      <c r="AT18" s="10"/>
      <c r="AU18" s="5"/>
      <c r="AV18" s="10">
        <v>768</v>
      </c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7">
        <f t="shared" si="0"/>
        <v>1870</v>
      </c>
      <c r="BH18" s="5" t="s">
        <v>38</v>
      </c>
    </row>
    <row r="19" s="1" customFormat="1" ht="16.8" spans="1:60">
      <c r="A19" s="10"/>
      <c r="B19" s="12" t="s">
        <v>40</v>
      </c>
      <c r="C19" s="10">
        <f>SUM(C3:D18)</f>
        <v>177</v>
      </c>
      <c r="D19" s="8"/>
      <c r="E19" s="10">
        <f>SUM(E3:F18)</f>
        <v>184</v>
      </c>
      <c r="F19" s="8"/>
      <c r="G19" s="10">
        <f>SUM(G3:H18)</f>
        <v>200</v>
      </c>
      <c r="H19" s="8"/>
      <c r="I19" s="10">
        <f>SUM(I3:J18)</f>
        <v>0</v>
      </c>
      <c r="J19" s="8"/>
      <c r="K19" s="10">
        <f>SUM(K3:L18)</f>
        <v>0</v>
      </c>
      <c r="L19" s="8"/>
      <c r="M19" s="10">
        <f>SUM(M3:N18)</f>
        <v>0</v>
      </c>
      <c r="N19" s="8"/>
      <c r="O19" s="10">
        <f>SUM(O3:P18)</f>
        <v>96</v>
      </c>
      <c r="P19" s="8"/>
      <c r="Q19" s="10">
        <f>SUM(Q3:R18)</f>
        <v>-520</v>
      </c>
      <c r="R19" s="8"/>
      <c r="S19" s="10">
        <f>SUM(S3:T18)</f>
        <v>60</v>
      </c>
      <c r="T19" s="8"/>
      <c r="U19" s="10">
        <f>SUM(U3:V18)</f>
        <v>38.7</v>
      </c>
      <c r="V19" s="8"/>
      <c r="W19" s="10">
        <f>SUM(W3:X18)</f>
        <v>0</v>
      </c>
      <c r="X19" s="8"/>
      <c r="Y19" s="10">
        <f>SUM(Y3:Z18)</f>
        <v>284</v>
      </c>
      <c r="Z19" s="8"/>
      <c r="AA19" s="10">
        <f>SUM(AA3:AB18)</f>
        <v>250.7</v>
      </c>
      <c r="AB19" s="8"/>
      <c r="AC19" s="10">
        <f>SUM(AC3:AD18)</f>
        <v>128.9</v>
      </c>
      <c r="AD19" s="8"/>
      <c r="AE19" s="10">
        <f>SUM(AE3:AF18)</f>
        <v>716</v>
      </c>
      <c r="AF19" s="8"/>
      <c r="AG19" s="10">
        <f>SUM(AG3:AH18)</f>
        <v>33.9</v>
      </c>
      <c r="AH19" s="8"/>
      <c r="AI19" s="10">
        <f>SUM(AI3:AJ18)</f>
        <v>1644.5</v>
      </c>
      <c r="AJ19" s="8"/>
      <c r="AK19" s="10">
        <f>SUM(AK3:AL18)</f>
        <v>49.9</v>
      </c>
      <c r="AL19" s="8"/>
      <c r="AM19" s="10">
        <f>SUM(AM3:AN18)</f>
        <v>51.6</v>
      </c>
      <c r="AN19" s="8"/>
      <c r="AO19" s="10">
        <f>SUM(AO3:AP18)</f>
        <v>0</v>
      </c>
      <c r="AP19" s="8"/>
      <c r="AQ19" s="10">
        <f>SUM(AQ3:AR18)</f>
        <v>-188</v>
      </c>
      <c r="AR19" s="8"/>
      <c r="AS19" s="10">
        <f>SUM(AS3:AT18)</f>
        <v>131.8</v>
      </c>
      <c r="AT19" s="8"/>
      <c r="AU19" s="10">
        <f>SUM(AU3:AV18)</f>
        <v>1450.8</v>
      </c>
      <c r="AV19" s="8"/>
      <c r="AW19" s="10">
        <f>SUM(AW3:AX18)</f>
        <v>689.4</v>
      </c>
      <c r="AX19" s="8"/>
      <c r="AY19" s="10">
        <f>SUM(AY3:AZ18)</f>
        <v>387.91</v>
      </c>
      <c r="AZ19" s="8"/>
      <c r="BA19" s="10">
        <f>SUM(BA3:BB18)</f>
        <v>148</v>
      </c>
      <c r="BB19" s="8"/>
      <c r="BC19" s="10">
        <f>SUM(BC3:BD18)</f>
        <v>146</v>
      </c>
      <c r="BD19" s="8"/>
      <c r="BE19" s="10">
        <f>SUM(BE3:BF18)</f>
        <v>36.5</v>
      </c>
      <c r="BF19" s="8"/>
      <c r="BG19" s="13">
        <f t="shared" si="0"/>
        <v>6197.61</v>
      </c>
      <c r="BH19" s="12" t="s">
        <v>40</v>
      </c>
    </row>
    <row r="20" s="30" customFormat="1" ht="16.8" spans="1:60">
      <c r="A20" s="5" t="s">
        <v>41</v>
      </c>
      <c r="B20" s="14" t="s">
        <v>42</v>
      </c>
      <c r="C20" s="17"/>
      <c r="D20" s="47"/>
      <c r="E20" s="17"/>
      <c r="F20" s="47"/>
      <c r="G20" s="17"/>
      <c r="H20" s="47"/>
      <c r="I20" s="17"/>
      <c r="J20" s="47"/>
      <c r="K20" s="17"/>
      <c r="L20" s="47"/>
      <c r="M20" s="17"/>
      <c r="N20" s="47"/>
      <c r="O20" s="17"/>
      <c r="P20" s="47"/>
      <c r="Q20" s="17"/>
      <c r="R20" s="47"/>
      <c r="S20" s="17"/>
      <c r="T20" s="47"/>
      <c r="U20" s="17"/>
      <c r="V20" s="47"/>
      <c r="Y20" s="17"/>
      <c r="Z20" s="47"/>
      <c r="AA20" s="17"/>
      <c r="AB20" s="47"/>
      <c r="AI20" s="17"/>
      <c r="AJ20" s="47"/>
      <c r="AK20" s="17"/>
      <c r="AL20" s="47"/>
      <c r="AM20" s="17"/>
      <c r="AN20" s="47"/>
      <c r="AO20" s="17"/>
      <c r="AP20" s="47"/>
      <c r="AQ20" s="17"/>
      <c r="AR20" s="47"/>
      <c r="AS20" s="17"/>
      <c r="AT20" s="47"/>
      <c r="AU20" s="17"/>
      <c r="AV20" s="47"/>
      <c r="AW20" s="17"/>
      <c r="AX20" s="47"/>
      <c r="AY20" s="17"/>
      <c r="AZ20" s="47"/>
      <c r="BA20" s="17"/>
      <c r="BB20" s="47"/>
      <c r="BC20" s="17"/>
      <c r="BD20" s="47"/>
      <c r="BE20" s="17"/>
      <c r="BF20" s="47"/>
      <c r="BG20" s="7">
        <f t="shared" si="0"/>
        <v>0</v>
      </c>
      <c r="BH20" s="14" t="s">
        <v>42</v>
      </c>
    </row>
    <row r="21" s="1" customFormat="1" ht="16.8" spans="1:60">
      <c r="A21" s="15"/>
      <c r="B21" s="14" t="s">
        <v>43</v>
      </c>
      <c r="C21" s="48"/>
      <c r="D21" s="48"/>
      <c r="E21" s="48"/>
      <c r="F21" s="48"/>
      <c r="G21" s="48" t="s">
        <v>44</v>
      </c>
      <c r="H21" s="48">
        <v>1000</v>
      </c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55"/>
      <c r="X21" s="56"/>
      <c r="Y21" s="48"/>
      <c r="Z21" s="48"/>
      <c r="AA21" s="48"/>
      <c r="AB21" s="48"/>
      <c r="AC21" s="55"/>
      <c r="AD21" s="56"/>
      <c r="AE21" s="55" t="s">
        <v>44</v>
      </c>
      <c r="AF21" s="56">
        <v>2000</v>
      </c>
      <c r="AG21" s="55"/>
      <c r="AH21" s="56"/>
      <c r="AI21" s="48"/>
      <c r="AJ21" s="48"/>
      <c r="AK21" s="48"/>
      <c r="AL21" s="48"/>
      <c r="AM21" s="48"/>
      <c r="AN21" s="48"/>
      <c r="AO21" s="48" t="s">
        <v>44</v>
      </c>
      <c r="AP21" s="48">
        <v>3000</v>
      </c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13">
        <f t="shared" si="0"/>
        <v>6000</v>
      </c>
      <c r="BH21" s="14" t="s">
        <v>43</v>
      </c>
    </row>
    <row r="22" s="1" customFormat="1" ht="16.8" spans="1:60">
      <c r="A22" s="15"/>
      <c r="B22" s="16" t="s">
        <v>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7"/>
      <c r="AP22" s="57"/>
      <c r="AQ22" s="57"/>
      <c r="AR22" s="5"/>
      <c r="AS22" s="5"/>
      <c r="AT22" s="5"/>
      <c r="AU22" s="5"/>
      <c r="AV22" s="5"/>
      <c r="AW22" s="5"/>
      <c r="AX22" s="5"/>
      <c r="AY22" s="48"/>
      <c r="AZ22" s="48"/>
      <c r="BA22" s="5"/>
      <c r="BB22" s="5"/>
      <c r="BC22" s="5"/>
      <c r="BD22" s="59"/>
      <c r="BE22" s="59"/>
      <c r="BF22" s="59"/>
      <c r="BG22" s="7">
        <f t="shared" si="0"/>
        <v>0</v>
      </c>
      <c r="BH22" s="16" t="s">
        <v>45</v>
      </c>
    </row>
    <row r="23" s="1" customFormat="1" ht="16.8" spans="1:60">
      <c r="A23" s="15"/>
      <c r="B23" s="16" t="s">
        <v>46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7"/>
      <c r="AP23" s="57"/>
      <c r="AQ23" s="57"/>
      <c r="AR23" s="5"/>
      <c r="AS23" s="5"/>
      <c r="AT23" s="5"/>
      <c r="AU23" s="5"/>
      <c r="AV23" s="5"/>
      <c r="AW23" s="5"/>
      <c r="AX23" s="5"/>
      <c r="AY23" s="48"/>
      <c r="AZ23" s="48"/>
      <c r="BA23" s="5"/>
      <c r="BB23" s="5"/>
      <c r="BC23" s="5"/>
      <c r="BD23" s="59"/>
      <c r="BE23" s="59"/>
      <c r="BF23" s="59"/>
      <c r="BG23" s="7">
        <f t="shared" si="0"/>
        <v>0</v>
      </c>
      <c r="BH23" s="16" t="s">
        <v>46</v>
      </c>
    </row>
    <row r="24" s="1" customFormat="1" spans="1:59">
      <c r="A24" s="15"/>
      <c r="B24"/>
      <c r="C24"/>
      <c r="D24" s="30"/>
      <c r="E24" s="30"/>
      <c r="F24" s="30"/>
      <c r="G24" s="30"/>
      <c r="H24" s="30"/>
      <c r="I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/>
      <c r="AX24"/>
      <c r="AY24"/>
      <c r="AZ24"/>
      <c r="BA24"/>
      <c r="BB24"/>
      <c r="BC24"/>
      <c r="BD24"/>
      <c r="BE24"/>
      <c r="BF24"/>
      <c r="BG24"/>
    </row>
    <row r="25" s="1" customFormat="1" spans="1:59">
      <c r="A25" s="15"/>
      <c r="B25"/>
      <c r="C25"/>
      <c r="D25" s="49"/>
      <c r="E25" s="30"/>
      <c r="F25" s="30"/>
      <c r="G25" s="30"/>
      <c r="H25" s="30"/>
      <c r="I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/>
      <c r="AX25"/>
      <c r="AY25"/>
      <c r="AZ25"/>
      <c r="BA25"/>
      <c r="BB25"/>
      <c r="BC25"/>
      <c r="BD25"/>
      <c r="BE25"/>
      <c r="BF25"/>
      <c r="BG25"/>
    </row>
    <row r="26" s="1" customFormat="1" ht="16.8" spans="1:59">
      <c r="A26" s="15"/>
      <c r="B26" s="30"/>
      <c r="C26" s="30"/>
      <c r="D26" s="30"/>
      <c r="E26" s="30"/>
      <c r="F26" s="30"/>
      <c r="G26" s="30"/>
      <c r="H26" s="30"/>
      <c r="I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0"/>
      <c r="BE26" s="60"/>
      <c r="BF26" s="60"/>
      <c r="BG26" s="60"/>
    </row>
    <row r="27" s="1" customFormat="1" ht="16.8" spans="1:59">
      <c r="A27" s="1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</row>
    <row r="28" s="1" customFormat="1" ht="16.8" spans="1:59">
      <c r="A28" s="15"/>
      <c r="B28" s="30"/>
      <c r="C28" s="30"/>
      <c r="D28" s="15"/>
      <c r="E28" s="15"/>
      <c r="F28" s="15"/>
      <c r="G28" s="15"/>
      <c r="H28" s="15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</row>
    <row r="29" s="1" customFormat="1" ht="16.8" spans="1:59">
      <c r="A29" s="15"/>
      <c r="B29" s="30"/>
      <c r="C29" s="30"/>
      <c r="D29" s="15"/>
      <c r="E29" s="15"/>
      <c r="F29" s="15"/>
      <c r="G29" s="15"/>
      <c r="H29" s="1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</row>
    <row r="30" s="1" customFormat="1" ht="16.8" spans="1:59">
      <c r="A30" s="15"/>
      <c r="B30" s="15"/>
      <c r="C30" s="15"/>
      <c r="D30" s="15"/>
      <c r="E30" s="15"/>
      <c r="F30" s="15"/>
      <c r="G30" s="15"/>
      <c r="H30" s="1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</row>
    <row r="31" s="1" customFormat="1" ht="16.8" spans="1:59">
      <c r="A31" s="15"/>
      <c r="D31" s="15"/>
      <c r="E31" s="15"/>
      <c r="F31" s="15"/>
      <c r="G31" s="15"/>
      <c r="H31" s="1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</row>
    <row r="32" s="1" customFormat="1" ht="16.8" spans="1:60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30"/>
    </row>
    <row r="33" s="1" customFormat="1" ht="16.8" spans="1:60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30"/>
    </row>
    <row r="34" s="1" customFormat="1" ht="16.8" spans="1:60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30"/>
    </row>
    <row r="35" s="1" customFormat="1" ht="16.8" spans="1:60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30"/>
    </row>
    <row r="36" s="1" customFormat="1" ht="16.8" spans="1:60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</row>
  </sheetData>
  <mergeCells count="63">
    <mergeCell ref="C1:F1"/>
    <mergeCell ref="AQ1:AR1"/>
    <mergeCell ref="AU1:AV1"/>
    <mergeCell ref="AW1:AX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A3:A6"/>
    <mergeCell ref="A7:A13"/>
    <mergeCell ref="BG3:BG6"/>
  </mergeCells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zoomScale="90" zoomScaleNormal="90" workbookViewId="0">
      <selection activeCell="BC24" sqref="BC24"/>
    </sheetView>
  </sheetViews>
  <sheetFormatPr defaultColWidth="8.91964285714286" defaultRowHeight="16.8"/>
  <cols>
    <col min="1" max="1" width="5.57142857142857" style="1" customWidth="1"/>
    <col min="2" max="2" width="14" style="1" customWidth="1"/>
    <col min="3" max="3" width="8.91964285714286" style="1" customWidth="1"/>
    <col min="4" max="4" width="6.21428571428571" style="1" customWidth="1"/>
    <col min="5" max="5" width="7.57142857142857" style="1" customWidth="1"/>
    <col min="6" max="6" width="6.21428571428571" style="1" customWidth="1"/>
    <col min="7" max="7" width="8.91964285714286" style="1" customWidth="1"/>
    <col min="8" max="8" width="6.21428571428571" style="1" customWidth="1"/>
    <col min="9" max="9" width="5.57142857142857" style="1" customWidth="1"/>
    <col min="10" max="10" width="7.14285714285714" style="1" customWidth="1"/>
    <col min="11" max="11" width="5.57142857142857" style="1" customWidth="1"/>
    <col min="12" max="12" width="7.14285714285714" style="1" customWidth="1"/>
    <col min="13" max="13" width="5.57142857142857" style="1" customWidth="1"/>
    <col min="14" max="14" width="6.21428571428571" style="1" customWidth="1"/>
    <col min="15" max="15" width="5.57142857142857" style="1" customWidth="1"/>
    <col min="16" max="16" width="6.21428571428571" style="1" customWidth="1"/>
    <col min="17" max="17" width="8.92857142857143" style="1" customWidth="1"/>
    <col min="18" max="18" width="7.14285714285714" style="1" customWidth="1"/>
    <col min="19" max="19" width="9.57142857142857" style="1" customWidth="1"/>
    <col min="20" max="20" width="6.21428571428571" style="1" customWidth="1"/>
    <col min="21" max="21" width="10.2142857142857" style="1" customWidth="1"/>
    <col min="22" max="22" width="6.21428571428571" style="1" customWidth="1"/>
    <col min="23" max="23" width="5.57142857142857" style="1" customWidth="1"/>
    <col min="24" max="24" width="6.21428571428571" style="1" customWidth="1"/>
    <col min="25" max="25" width="7.57142857142857" style="1" customWidth="1"/>
    <col min="26" max="26" width="7.14285714285714" style="1" customWidth="1"/>
    <col min="27" max="27" width="7.57142857142857" style="1" customWidth="1"/>
    <col min="28" max="28" width="7.14285714285714" style="1" customWidth="1"/>
    <col min="29" max="29" width="15.5" style="1" customWidth="1"/>
    <col min="30" max="30" width="8.07142857142857" style="1" customWidth="1"/>
    <col min="31" max="31" width="5.57142857142857" style="1" customWidth="1"/>
    <col min="32" max="32" width="6.21428571428571" style="1" customWidth="1"/>
    <col min="33" max="33" width="5.57142857142857" style="1" customWidth="1"/>
    <col min="34" max="34" width="6.21428571428571" style="1" customWidth="1"/>
    <col min="35" max="35" width="11.7142857142857" style="1" customWidth="1"/>
    <col min="36" max="36" width="7.14285714285714" style="1" customWidth="1"/>
    <col min="37" max="37" width="9.57142857142857" style="1" customWidth="1"/>
    <col min="38" max="38" width="6.21428571428571" style="1" customWidth="1"/>
    <col min="39" max="39" width="9.57142857142857" style="1" customWidth="1"/>
    <col min="40" max="40" width="7.14285714285714" style="1" customWidth="1"/>
    <col min="41" max="41" width="8.91964285714286" style="1" customWidth="1"/>
    <col min="42" max="42" width="6.21428571428571" style="1" customWidth="1"/>
    <col min="43" max="43" width="13.2857142857143" style="1" customWidth="1"/>
    <col min="44" max="44" width="8.07142857142857" style="1" customWidth="1"/>
    <col min="45" max="45" width="9.57142857142857" style="1" customWidth="1"/>
    <col min="46" max="46" width="8.07142857142857" style="1" customWidth="1"/>
    <col min="47" max="47" width="5.57142857142857" style="1" customWidth="1"/>
    <col min="48" max="48" width="6.21428571428571" style="1" customWidth="1"/>
    <col min="49" max="49" width="8.91964285714286" style="1" customWidth="1"/>
    <col min="50" max="50" width="6.21428571428571" style="1" customWidth="1"/>
    <col min="51" max="51" width="13.2857142857143" style="1" customWidth="1"/>
    <col min="52" max="52" width="6.21428571428571" style="1" customWidth="1"/>
    <col min="53" max="53" width="8.91964285714286" style="1" customWidth="1"/>
    <col min="54" max="54" width="6.21428571428571" style="1" customWidth="1"/>
    <col min="55" max="55" width="24.4285714285714" style="1" customWidth="1"/>
    <col min="56" max="56" width="7.14285714285714" style="1" customWidth="1"/>
    <col min="57" max="64" width="8.91964285714286" style="1" customWidth="1"/>
    <col min="65" max="65" width="7.57142857142857" style="1" customWidth="1"/>
    <col min="66" max="66" width="14" style="1" customWidth="1"/>
    <col min="67" max="16384" width="8.91964285714286" style="1" customWidth="1"/>
  </cols>
  <sheetData>
    <row r="1" s="1" customFormat="1" spans="3:58">
      <c r="C1" s="28"/>
      <c r="D1" s="28"/>
      <c r="E1" s="70"/>
      <c r="F1" s="7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71"/>
      <c r="T1" s="71"/>
      <c r="U1" s="71"/>
      <c r="V1" s="71"/>
      <c r="W1" s="71"/>
      <c r="X1" s="71"/>
      <c r="Y1" s="71"/>
      <c r="Z1" s="71"/>
      <c r="AA1" s="30"/>
      <c r="AB1" s="30"/>
      <c r="AK1" s="16"/>
      <c r="AL1" s="16"/>
      <c r="BA1" s="58"/>
      <c r="BB1" s="58"/>
      <c r="BE1" s="61"/>
      <c r="BF1" s="61"/>
    </row>
    <row r="2" s="1" customFormat="1" spans="1:66">
      <c r="A2" s="32"/>
      <c r="B2" s="33" t="s">
        <v>1</v>
      </c>
      <c r="C2" s="34">
        <v>44621</v>
      </c>
      <c r="D2" s="3"/>
      <c r="E2" s="34">
        <v>44622</v>
      </c>
      <c r="F2" s="3"/>
      <c r="G2" s="34">
        <v>44623</v>
      </c>
      <c r="H2" s="3"/>
      <c r="I2" s="34">
        <v>44624</v>
      </c>
      <c r="J2" s="3"/>
      <c r="K2" s="34">
        <v>44625</v>
      </c>
      <c r="L2" s="3"/>
      <c r="M2" s="34">
        <v>44626</v>
      </c>
      <c r="N2" s="3"/>
      <c r="O2" s="34">
        <v>44627</v>
      </c>
      <c r="P2" s="3"/>
      <c r="Q2" s="34">
        <v>44628</v>
      </c>
      <c r="R2" s="3"/>
      <c r="S2" s="34">
        <v>44629</v>
      </c>
      <c r="T2" s="3"/>
      <c r="U2" s="34">
        <v>44630</v>
      </c>
      <c r="V2" s="3"/>
      <c r="W2" s="34">
        <v>44631</v>
      </c>
      <c r="X2" s="3"/>
      <c r="Y2" s="34">
        <v>44632</v>
      </c>
      <c r="Z2" s="3"/>
      <c r="AA2" s="34">
        <v>44633</v>
      </c>
      <c r="AB2" s="3"/>
      <c r="AC2" s="34">
        <v>44634</v>
      </c>
      <c r="AD2" s="3"/>
      <c r="AE2" s="32">
        <v>44635</v>
      </c>
      <c r="AF2" s="72"/>
      <c r="AG2" s="32">
        <v>44636</v>
      </c>
      <c r="AH2" s="72"/>
      <c r="AI2" s="34">
        <v>44637</v>
      </c>
      <c r="AJ2" s="3"/>
      <c r="AK2" s="34">
        <v>44638</v>
      </c>
      <c r="AL2" s="3"/>
      <c r="AM2" s="34">
        <v>44639</v>
      </c>
      <c r="AN2" s="3"/>
      <c r="AO2" s="34">
        <v>44640</v>
      </c>
      <c r="AP2" s="3"/>
      <c r="AQ2" s="34">
        <v>44641</v>
      </c>
      <c r="AR2" s="3"/>
      <c r="AS2" s="34">
        <v>44642</v>
      </c>
      <c r="AT2" s="3"/>
      <c r="AU2" s="34">
        <v>44643</v>
      </c>
      <c r="AV2" s="3"/>
      <c r="AW2" s="34">
        <v>44644</v>
      </c>
      <c r="AX2" s="3"/>
      <c r="AY2" s="34">
        <v>44645</v>
      </c>
      <c r="AZ2" s="3"/>
      <c r="BA2" s="34">
        <v>44646</v>
      </c>
      <c r="BB2" s="3"/>
      <c r="BC2" s="34">
        <v>44647</v>
      </c>
      <c r="BD2" s="3"/>
      <c r="BE2" s="34">
        <v>44648</v>
      </c>
      <c r="BF2" s="3"/>
      <c r="BG2" s="34">
        <v>44649</v>
      </c>
      <c r="BH2" s="3"/>
      <c r="BI2" s="34">
        <v>44650</v>
      </c>
      <c r="BJ2" s="3"/>
      <c r="BK2" s="34">
        <v>44651</v>
      </c>
      <c r="BL2" s="3"/>
      <c r="BM2" s="34" t="s">
        <v>2</v>
      </c>
      <c r="BN2" s="2" t="s">
        <v>1</v>
      </c>
    </row>
    <row r="3" s="1" customFormat="1" spans="1:66">
      <c r="A3" s="35" t="s">
        <v>3</v>
      </c>
      <c r="B3" s="36" t="s">
        <v>4</v>
      </c>
      <c r="C3" s="35"/>
      <c r="D3" s="37"/>
      <c r="E3" s="51"/>
      <c r="F3" s="52"/>
      <c r="G3" s="15"/>
      <c r="H3" s="37"/>
      <c r="I3" s="35"/>
      <c r="J3" s="37"/>
      <c r="K3" s="35"/>
      <c r="L3" s="37"/>
      <c r="M3" s="35"/>
      <c r="N3" s="37"/>
      <c r="O3" s="35"/>
      <c r="P3" s="37"/>
      <c r="Q3" s="35"/>
      <c r="R3" s="37"/>
      <c r="S3" s="35" t="s">
        <v>78</v>
      </c>
      <c r="T3" s="37">
        <v>21.8</v>
      </c>
      <c r="U3" s="15"/>
      <c r="V3" s="37"/>
      <c r="W3" s="35"/>
      <c r="X3" s="37"/>
      <c r="Y3" s="35"/>
      <c r="Z3" s="15"/>
      <c r="AA3" s="35"/>
      <c r="AB3" s="15"/>
      <c r="AC3" s="35"/>
      <c r="AD3" s="15"/>
      <c r="AE3" s="41" t="s">
        <v>78</v>
      </c>
      <c r="AF3" s="52">
        <v>18.8</v>
      </c>
      <c r="AG3" s="51" t="s">
        <v>78</v>
      </c>
      <c r="AH3" s="52">
        <v>32</v>
      </c>
      <c r="AI3" s="54"/>
      <c r="AJ3" s="15"/>
      <c r="AK3" s="35" t="s">
        <v>78</v>
      </c>
      <c r="AL3" s="15">
        <v>5.5</v>
      </c>
      <c r="AM3" s="35"/>
      <c r="AN3" s="15"/>
      <c r="AO3" s="35"/>
      <c r="AP3" s="15"/>
      <c r="AQ3" s="35"/>
      <c r="AR3" s="15"/>
      <c r="AS3" s="35"/>
      <c r="AT3" s="15"/>
      <c r="AU3" s="35" t="s">
        <v>78</v>
      </c>
      <c r="AV3" s="37">
        <v>25</v>
      </c>
      <c r="AW3" s="15"/>
      <c r="AX3" s="37"/>
      <c r="AY3" s="35" t="s">
        <v>78</v>
      </c>
      <c r="AZ3" s="37">
        <v>22</v>
      </c>
      <c r="BA3" s="35"/>
      <c r="BB3" s="37"/>
      <c r="BC3" s="35"/>
      <c r="BD3" s="37"/>
      <c r="BE3" s="35" t="s">
        <v>78</v>
      </c>
      <c r="BF3" s="37">
        <v>56.8</v>
      </c>
      <c r="BG3" s="35" t="s">
        <v>78</v>
      </c>
      <c r="BH3" s="37">
        <v>17</v>
      </c>
      <c r="BI3" s="35" t="s">
        <v>78</v>
      </c>
      <c r="BJ3" s="37">
        <v>21</v>
      </c>
      <c r="BK3" s="35"/>
      <c r="BL3" s="37"/>
      <c r="BM3" s="7">
        <f>SUM(C3:BL6)</f>
        <v>2014.8</v>
      </c>
      <c r="BN3" s="29" t="s">
        <v>4</v>
      </c>
    </row>
    <row r="4" s="1" customFormat="1" spans="1:66">
      <c r="A4" s="35"/>
      <c r="B4" s="36" t="s">
        <v>5</v>
      </c>
      <c r="C4" s="35"/>
      <c r="D4" s="37">
        <v>12</v>
      </c>
      <c r="E4" s="15"/>
      <c r="F4" s="37">
        <v>13</v>
      </c>
      <c r="G4" s="15"/>
      <c r="H4" s="37"/>
      <c r="I4" s="35"/>
      <c r="J4" s="37"/>
      <c r="K4" s="35"/>
      <c r="L4" s="37"/>
      <c r="M4" s="35"/>
      <c r="N4" s="37"/>
      <c r="O4" s="35"/>
      <c r="P4" s="37">
        <v>15</v>
      </c>
      <c r="Q4" s="35"/>
      <c r="R4" s="37"/>
      <c r="S4" s="35"/>
      <c r="T4" s="37">
        <v>11</v>
      </c>
      <c r="U4" s="15"/>
      <c r="V4" s="37">
        <v>13</v>
      </c>
      <c r="W4" s="35"/>
      <c r="X4" s="37">
        <v>38</v>
      </c>
      <c r="Y4" s="35"/>
      <c r="Z4" s="15">
        <v>18</v>
      </c>
      <c r="AA4" s="35"/>
      <c r="AB4" s="15">
        <v>18</v>
      </c>
      <c r="AC4" s="35" t="s">
        <v>79</v>
      </c>
      <c r="AD4" s="15">
        <v>373.9</v>
      </c>
      <c r="AE4" s="35"/>
      <c r="AF4" s="15">
        <v>14</v>
      </c>
      <c r="AG4" s="35"/>
      <c r="AH4" s="15">
        <v>13.5</v>
      </c>
      <c r="AI4" s="35"/>
      <c r="AJ4" s="15">
        <v>18</v>
      </c>
      <c r="AK4" s="35"/>
      <c r="AL4" s="15">
        <v>13.6</v>
      </c>
      <c r="AM4" s="35"/>
      <c r="AN4" s="15">
        <v>16</v>
      </c>
      <c r="AO4" s="35"/>
      <c r="AP4" s="15">
        <v>16</v>
      </c>
      <c r="AQ4" s="35"/>
      <c r="AR4" s="15">
        <v>27.6</v>
      </c>
      <c r="AS4" s="35"/>
      <c r="AT4" s="15">
        <v>11</v>
      </c>
      <c r="AU4" s="35"/>
      <c r="AV4" s="37">
        <v>13.6</v>
      </c>
      <c r="AW4" s="15"/>
      <c r="AX4" s="37">
        <v>7</v>
      </c>
      <c r="AY4" s="35"/>
      <c r="AZ4" s="37">
        <v>13.6</v>
      </c>
      <c r="BA4" s="35"/>
      <c r="BB4" s="37">
        <v>13.6</v>
      </c>
      <c r="BC4" s="35"/>
      <c r="BD4" s="37">
        <v>13.6</v>
      </c>
      <c r="BE4" s="35"/>
      <c r="BF4" s="37">
        <v>13.6</v>
      </c>
      <c r="BG4" s="35"/>
      <c r="BH4" s="37">
        <v>13.6</v>
      </c>
      <c r="BI4" s="35"/>
      <c r="BJ4" s="37">
        <v>12.5</v>
      </c>
      <c r="BK4" s="35"/>
      <c r="BL4" s="37">
        <v>12.5</v>
      </c>
      <c r="BM4" s="7"/>
      <c r="BN4" s="29" t="s">
        <v>5</v>
      </c>
    </row>
    <row r="5" s="1" customFormat="1" spans="1:66">
      <c r="A5" s="35"/>
      <c r="B5" s="36" t="s">
        <v>6</v>
      </c>
      <c r="C5" s="35"/>
      <c r="D5" s="15">
        <v>13</v>
      </c>
      <c r="E5" s="35"/>
      <c r="F5" s="15">
        <v>13</v>
      </c>
      <c r="G5" s="35"/>
      <c r="H5" s="15"/>
      <c r="I5" s="35" t="s">
        <v>80</v>
      </c>
      <c r="J5" s="37">
        <v>156.6</v>
      </c>
      <c r="K5" s="35"/>
      <c r="L5" s="37"/>
      <c r="M5" s="35" t="s">
        <v>81</v>
      </c>
      <c r="N5" s="37">
        <v>32.3</v>
      </c>
      <c r="O5" s="35"/>
      <c r="P5" s="37">
        <v>11</v>
      </c>
      <c r="Q5" s="35"/>
      <c r="R5" s="37"/>
      <c r="S5" s="35"/>
      <c r="T5" s="37">
        <v>15.8</v>
      </c>
      <c r="U5" s="15"/>
      <c r="V5" s="37"/>
      <c r="W5" s="35"/>
      <c r="X5" s="37"/>
      <c r="Y5" s="35"/>
      <c r="Z5" s="15"/>
      <c r="AA5" s="35"/>
      <c r="AB5" s="15"/>
      <c r="AC5" s="35"/>
      <c r="AD5" s="15">
        <v>23</v>
      </c>
      <c r="AE5" s="35"/>
      <c r="AF5" s="15">
        <v>10.8</v>
      </c>
      <c r="AG5" s="35"/>
      <c r="AH5" s="15">
        <v>12.5</v>
      </c>
      <c r="AI5" s="35" t="s">
        <v>82</v>
      </c>
      <c r="AJ5" s="15">
        <v>25.7</v>
      </c>
      <c r="AK5" s="35"/>
      <c r="AL5" s="15">
        <v>8</v>
      </c>
      <c r="AM5" s="35"/>
      <c r="AN5" s="15">
        <v>14</v>
      </c>
      <c r="AO5" s="35"/>
      <c r="AP5" s="15"/>
      <c r="AQ5" s="35"/>
      <c r="AR5" s="15">
        <v>19.5</v>
      </c>
      <c r="AS5" s="35"/>
      <c r="AT5" s="15">
        <v>11</v>
      </c>
      <c r="AU5" s="35"/>
      <c r="AV5" s="37">
        <v>18</v>
      </c>
      <c r="AW5" s="15"/>
      <c r="AX5" s="37">
        <v>13</v>
      </c>
      <c r="AY5" s="35"/>
      <c r="AZ5" s="37">
        <v>18</v>
      </c>
      <c r="BA5" s="35"/>
      <c r="BB5" s="37">
        <v>13</v>
      </c>
      <c r="BC5" s="35"/>
      <c r="BD5" s="37">
        <v>14</v>
      </c>
      <c r="BE5" s="35"/>
      <c r="BF5" s="37">
        <v>12</v>
      </c>
      <c r="BG5" s="35"/>
      <c r="BH5" s="37">
        <v>12.5</v>
      </c>
      <c r="BI5" s="35"/>
      <c r="BJ5" s="37">
        <v>10</v>
      </c>
      <c r="BK5" s="35"/>
      <c r="BL5" s="37">
        <v>12.5</v>
      </c>
      <c r="BM5" s="7"/>
      <c r="BN5" s="29" t="s">
        <v>6</v>
      </c>
    </row>
    <row r="6" s="1" customFormat="1" spans="1:66">
      <c r="A6" s="38"/>
      <c r="B6" s="39" t="s">
        <v>8</v>
      </c>
      <c r="C6" s="38"/>
      <c r="D6" s="40"/>
      <c r="E6" s="38"/>
      <c r="F6" s="40">
        <v>20</v>
      </c>
      <c r="G6" s="38"/>
      <c r="H6" s="40">
        <f>27.4+9.4+14</f>
        <v>50.8</v>
      </c>
      <c r="I6" s="38"/>
      <c r="J6" s="53"/>
      <c r="K6" s="38" t="s">
        <v>9</v>
      </c>
      <c r="L6" s="53">
        <f>28+15.8</f>
        <v>43.8</v>
      </c>
      <c r="M6" s="38" t="s">
        <v>9</v>
      </c>
      <c r="N6" s="53">
        <v>39</v>
      </c>
      <c r="O6" s="38"/>
      <c r="P6" s="53"/>
      <c r="Q6" s="38"/>
      <c r="R6" s="53">
        <v>59</v>
      </c>
      <c r="S6" s="38"/>
      <c r="T6" s="53"/>
      <c r="U6" s="40"/>
      <c r="V6" s="53"/>
      <c r="W6" s="38"/>
      <c r="X6" s="53">
        <v>79</v>
      </c>
      <c r="Y6" s="38"/>
      <c r="Z6" s="40"/>
      <c r="AA6" s="38" t="s">
        <v>83</v>
      </c>
      <c r="AB6" s="40">
        <v>119</v>
      </c>
      <c r="AC6" s="38"/>
      <c r="AD6" s="40"/>
      <c r="AE6" s="38"/>
      <c r="AF6" s="40"/>
      <c r="AG6" s="38"/>
      <c r="AH6" s="40"/>
      <c r="AI6" s="38"/>
      <c r="AJ6" s="40">
        <v>23.3</v>
      </c>
      <c r="AK6" s="38" t="s">
        <v>84</v>
      </c>
      <c r="AL6" s="40">
        <v>15.8</v>
      </c>
      <c r="AM6" s="38"/>
      <c r="AN6" s="40"/>
      <c r="AO6" s="38"/>
      <c r="AP6" s="40"/>
      <c r="AQ6" s="38" t="s">
        <v>85</v>
      </c>
      <c r="AR6" s="40">
        <f>41.8+20</f>
        <v>61.8</v>
      </c>
      <c r="AS6" s="38"/>
      <c r="AT6" s="40">
        <v>14</v>
      </c>
      <c r="AU6" s="38"/>
      <c r="AV6" s="53"/>
      <c r="AW6" s="40"/>
      <c r="AX6" s="53"/>
      <c r="AY6" s="38" t="s">
        <v>82</v>
      </c>
      <c r="AZ6" s="53">
        <v>15</v>
      </c>
      <c r="BA6" s="38"/>
      <c r="BB6" s="53"/>
      <c r="BC6" s="38"/>
      <c r="BD6" s="53">
        <v>10</v>
      </c>
      <c r="BE6" s="38"/>
      <c r="BF6" s="53"/>
      <c r="BG6" s="38"/>
      <c r="BH6" s="53"/>
      <c r="BI6" s="38"/>
      <c r="BJ6" s="53"/>
      <c r="BK6" s="38"/>
      <c r="BL6" s="53"/>
      <c r="BM6" s="7"/>
      <c r="BN6" s="5" t="s">
        <v>8</v>
      </c>
    </row>
    <row r="7" s="1" customFormat="1" spans="1:66">
      <c r="A7" s="41" t="s">
        <v>11</v>
      </c>
      <c r="B7" s="42" t="s">
        <v>12</v>
      </c>
      <c r="C7" s="35"/>
      <c r="D7" s="37"/>
      <c r="E7" s="51"/>
      <c r="F7" s="51"/>
      <c r="G7" s="41"/>
      <c r="H7" s="52"/>
      <c r="I7" s="51"/>
      <c r="J7" s="52">
        <v>6.5</v>
      </c>
      <c r="K7" s="51"/>
      <c r="L7" s="52"/>
      <c r="M7" s="51"/>
      <c r="N7" s="37"/>
      <c r="O7" s="51"/>
      <c r="P7" s="52">
        <v>13.1</v>
      </c>
      <c r="Q7" s="51"/>
      <c r="R7" s="52">
        <v>17.5</v>
      </c>
      <c r="S7" s="51"/>
      <c r="T7" s="37">
        <v>2.5</v>
      </c>
      <c r="U7" s="51"/>
      <c r="V7" s="52">
        <v>23</v>
      </c>
      <c r="W7" s="41"/>
      <c r="X7" s="52">
        <v>5</v>
      </c>
      <c r="Y7" s="41"/>
      <c r="Z7" s="51"/>
      <c r="AA7" s="41"/>
      <c r="AB7" s="51">
        <v>8</v>
      </c>
      <c r="AC7" s="41"/>
      <c r="AD7" s="51">
        <v>52.5</v>
      </c>
      <c r="AE7" s="41"/>
      <c r="AF7" s="51"/>
      <c r="AG7" s="41"/>
      <c r="AH7" s="51"/>
      <c r="AI7" s="41"/>
      <c r="AJ7" s="51"/>
      <c r="AK7" s="41"/>
      <c r="AL7" s="51"/>
      <c r="AM7" s="41" t="s">
        <v>86</v>
      </c>
      <c r="AN7" s="51">
        <v>575</v>
      </c>
      <c r="AO7" s="41"/>
      <c r="AP7" s="51"/>
      <c r="AQ7" s="41"/>
      <c r="AR7" s="51"/>
      <c r="AS7" s="41"/>
      <c r="AT7" s="51"/>
      <c r="AU7" s="41"/>
      <c r="AV7" s="52"/>
      <c r="AW7" s="51"/>
      <c r="AX7" s="52"/>
      <c r="AY7" s="41"/>
      <c r="AZ7" s="52"/>
      <c r="BA7" s="41"/>
      <c r="BB7" s="52"/>
      <c r="BC7" s="41" t="s">
        <v>87</v>
      </c>
      <c r="BD7" s="52">
        <v>50</v>
      </c>
      <c r="BE7" s="41"/>
      <c r="BF7" s="52"/>
      <c r="BG7" s="41"/>
      <c r="BH7" s="52"/>
      <c r="BI7" s="41"/>
      <c r="BJ7" s="52">
        <v>20</v>
      </c>
      <c r="BK7" s="41"/>
      <c r="BL7" s="52"/>
      <c r="BM7" s="7">
        <f>SUM(C7:BL7)</f>
        <v>773.1</v>
      </c>
      <c r="BN7" s="5" t="s">
        <v>12</v>
      </c>
    </row>
    <row r="8" s="1" customFormat="1" spans="1:66">
      <c r="A8" s="35"/>
      <c r="B8" s="42" t="s">
        <v>13</v>
      </c>
      <c r="C8" s="35"/>
      <c r="D8" s="37"/>
      <c r="E8" s="15"/>
      <c r="F8" s="15"/>
      <c r="G8" s="35"/>
      <c r="H8" s="37"/>
      <c r="I8" s="15"/>
      <c r="J8" s="37"/>
      <c r="K8" s="15"/>
      <c r="L8" s="37"/>
      <c r="M8" s="15"/>
      <c r="N8" s="37"/>
      <c r="O8" s="15"/>
      <c r="P8" s="37"/>
      <c r="Q8" s="15"/>
      <c r="R8" s="37"/>
      <c r="S8" s="54"/>
      <c r="T8" s="37"/>
      <c r="U8" s="15"/>
      <c r="V8" s="37"/>
      <c r="W8" s="35"/>
      <c r="X8" s="37"/>
      <c r="Y8" s="35"/>
      <c r="Z8" s="15"/>
      <c r="AA8" s="35"/>
      <c r="AB8" s="15"/>
      <c r="AC8" s="35"/>
      <c r="AD8" s="15"/>
      <c r="AE8" s="35"/>
      <c r="AF8" s="15"/>
      <c r="AG8" s="35"/>
      <c r="AH8" s="15"/>
      <c r="AI8" s="35"/>
      <c r="AJ8" s="15"/>
      <c r="AK8" s="35"/>
      <c r="AL8" s="15"/>
      <c r="AM8" s="35"/>
      <c r="AN8" s="15"/>
      <c r="AO8" s="35"/>
      <c r="AP8" s="15"/>
      <c r="AQ8" s="35"/>
      <c r="AR8" s="15"/>
      <c r="AS8" s="35"/>
      <c r="AT8" s="15"/>
      <c r="AU8" s="35"/>
      <c r="AV8" s="37"/>
      <c r="AW8" s="15"/>
      <c r="AX8" s="37"/>
      <c r="AY8" s="35"/>
      <c r="AZ8" s="37"/>
      <c r="BA8" s="35"/>
      <c r="BB8" s="37"/>
      <c r="BC8" s="35"/>
      <c r="BD8" s="37"/>
      <c r="BE8" s="35"/>
      <c r="BF8" s="37"/>
      <c r="BG8" s="35"/>
      <c r="BH8" s="37"/>
      <c r="BI8" s="35"/>
      <c r="BJ8" s="37"/>
      <c r="BK8" s="35"/>
      <c r="BL8" s="37"/>
      <c r="BM8" s="7">
        <f>SUM(C8:BL8)</f>
        <v>0</v>
      </c>
      <c r="BN8" s="5" t="s">
        <v>13</v>
      </c>
    </row>
    <row r="9" s="1" customFormat="1" spans="1:66">
      <c r="A9" s="35"/>
      <c r="B9" s="42" t="s">
        <v>56</v>
      </c>
      <c r="C9" s="35"/>
      <c r="D9" s="37"/>
      <c r="E9" s="15"/>
      <c r="F9" s="15"/>
      <c r="G9" s="35"/>
      <c r="H9" s="37"/>
      <c r="I9" s="15"/>
      <c r="J9" s="37"/>
      <c r="K9" s="15"/>
      <c r="L9" s="37"/>
      <c r="M9" s="15"/>
      <c r="N9" s="37"/>
      <c r="O9" s="15"/>
      <c r="P9" s="37"/>
      <c r="Q9" s="15" t="s">
        <v>88</v>
      </c>
      <c r="R9" s="37">
        <v>64.1</v>
      </c>
      <c r="S9" s="54"/>
      <c r="T9" s="37"/>
      <c r="U9" s="15"/>
      <c r="V9" s="37"/>
      <c r="W9" s="35"/>
      <c r="X9" s="37"/>
      <c r="Y9" s="35"/>
      <c r="Z9" s="15"/>
      <c r="AA9" s="35"/>
      <c r="AB9" s="15"/>
      <c r="AC9" s="35"/>
      <c r="AD9" s="15">
        <v>-130</v>
      </c>
      <c r="AE9" s="35"/>
      <c r="AF9" s="15"/>
      <c r="AG9" s="35"/>
      <c r="AH9" s="15"/>
      <c r="AI9" s="35"/>
      <c r="AJ9" s="15"/>
      <c r="AK9" s="35"/>
      <c r="AL9" s="15"/>
      <c r="AM9" s="35"/>
      <c r="AN9" s="15"/>
      <c r="AO9" s="35"/>
      <c r="AP9" s="15"/>
      <c r="AQ9" s="35"/>
      <c r="AR9" s="15"/>
      <c r="AS9" s="35" t="s">
        <v>89</v>
      </c>
      <c r="AT9" s="15">
        <v>58</v>
      </c>
      <c r="AU9" s="35"/>
      <c r="AV9" s="37"/>
      <c r="AW9" s="15"/>
      <c r="AX9" s="37"/>
      <c r="AY9" s="35"/>
      <c r="AZ9" s="37"/>
      <c r="BA9" s="35"/>
      <c r="BB9" s="37"/>
      <c r="BC9" s="35" t="s">
        <v>90</v>
      </c>
      <c r="BD9" s="37">
        <v>-10.4</v>
      </c>
      <c r="BE9" s="35"/>
      <c r="BF9" s="37"/>
      <c r="BG9" s="35"/>
      <c r="BH9" s="37"/>
      <c r="BI9" s="35"/>
      <c r="BJ9" s="37"/>
      <c r="BK9" s="35" t="s">
        <v>14</v>
      </c>
      <c r="BL9" s="37">
        <v>200</v>
      </c>
      <c r="BM9" s="7">
        <f>SUM(C9:BL9)</f>
        <v>181.7</v>
      </c>
      <c r="BN9" s="5" t="s">
        <v>56</v>
      </c>
    </row>
    <row r="10" s="1" customFormat="1" spans="1:66">
      <c r="A10" s="35"/>
      <c r="B10" s="44" t="s">
        <v>18</v>
      </c>
      <c r="C10" s="35"/>
      <c r="D10" s="37"/>
      <c r="E10" s="15"/>
      <c r="F10" s="15">
        <v>12</v>
      </c>
      <c r="G10" s="35"/>
      <c r="H10" s="37"/>
      <c r="I10" s="15"/>
      <c r="J10" s="37"/>
      <c r="K10" s="15"/>
      <c r="L10" s="37"/>
      <c r="M10" s="15"/>
      <c r="N10" s="37"/>
      <c r="O10" s="15"/>
      <c r="P10" s="37"/>
      <c r="Q10" s="15"/>
      <c r="R10" s="37"/>
      <c r="S10" s="35"/>
      <c r="T10" s="37"/>
      <c r="U10" s="15"/>
      <c r="V10" s="37"/>
      <c r="W10" s="35"/>
      <c r="X10" s="37"/>
      <c r="Y10" s="35"/>
      <c r="Z10" s="15"/>
      <c r="AA10" s="35"/>
      <c r="AB10" s="15"/>
      <c r="AC10" s="35"/>
      <c r="AD10" s="15"/>
      <c r="AE10" s="35"/>
      <c r="AF10" s="15"/>
      <c r="AG10" s="35"/>
      <c r="AH10" s="15"/>
      <c r="AI10" s="35"/>
      <c r="AJ10" s="15"/>
      <c r="AK10" s="35"/>
      <c r="AL10" s="15"/>
      <c r="AM10" s="35"/>
      <c r="AN10" s="15"/>
      <c r="AO10" s="35"/>
      <c r="AP10" s="15"/>
      <c r="AQ10" s="35"/>
      <c r="AR10" s="15"/>
      <c r="AS10" s="35"/>
      <c r="AT10" s="15"/>
      <c r="AU10" s="35"/>
      <c r="AV10" s="37"/>
      <c r="AW10" s="15"/>
      <c r="AX10" s="37"/>
      <c r="AY10" s="35"/>
      <c r="AZ10" s="37"/>
      <c r="BA10" s="35"/>
      <c r="BB10" s="37"/>
      <c r="BC10" s="35"/>
      <c r="BD10" s="37"/>
      <c r="BE10" s="35"/>
      <c r="BF10" s="37"/>
      <c r="BG10" s="35"/>
      <c r="BH10" s="37"/>
      <c r="BI10" s="35" t="s">
        <v>91</v>
      </c>
      <c r="BJ10" s="37">
        <v>17</v>
      </c>
      <c r="BK10" s="35"/>
      <c r="BL10" s="37"/>
      <c r="BM10" s="7">
        <f t="shared" ref="BM10:BM23" si="0">SUM(C10:BL10)</f>
        <v>29</v>
      </c>
      <c r="BN10" s="5" t="s">
        <v>18</v>
      </c>
    </row>
    <row r="11" s="1" customFormat="1" spans="1:66">
      <c r="A11" s="35"/>
      <c r="B11" s="45" t="s">
        <v>20</v>
      </c>
      <c r="C11" s="35"/>
      <c r="D11" s="37"/>
      <c r="E11" s="15"/>
      <c r="F11" s="15"/>
      <c r="G11" s="35"/>
      <c r="H11" s="37"/>
      <c r="I11" s="15"/>
      <c r="J11" s="15"/>
      <c r="K11" s="35"/>
      <c r="L11" s="37"/>
      <c r="M11" s="35"/>
      <c r="N11" s="37"/>
      <c r="O11" s="35"/>
      <c r="P11" s="37"/>
      <c r="Q11" s="35"/>
      <c r="R11" s="37"/>
      <c r="S11" s="35" t="s">
        <v>92</v>
      </c>
      <c r="T11" s="37">
        <v>50</v>
      </c>
      <c r="U11" s="15"/>
      <c r="V11" s="37"/>
      <c r="W11" s="35"/>
      <c r="X11" s="37"/>
      <c r="Y11" s="35"/>
      <c r="Z11" s="15"/>
      <c r="AA11" s="35"/>
      <c r="AB11" s="15"/>
      <c r="AC11" s="35"/>
      <c r="AD11" s="15"/>
      <c r="AE11" s="35"/>
      <c r="AF11" s="15"/>
      <c r="AG11" s="35"/>
      <c r="AH11" s="15"/>
      <c r="AI11" s="35"/>
      <c r="AJ11" s="15"/>
      <c r="AK11" s="35"/>
      <c r="AL11" s="15"/>
      <c r="AM11" s="35"/>
      <c r="AN11" s="15"/>
      <c r="AO11" s="35"/>
      <c r="AP11" s="15"/>
      <c r="AQ11" s="35"/>
      <c r="AR11" s="15"/>
      <c r="AS11" s="35"/>
      <c r="AT11" s="15"/>
      <c r="AU11" s="35"/>
      <c r="AV11" s="37"/>
      <c r="AW11" s="15"/>
      <c r="AX11" s="37"/>
      <c r="AY11" s="35"/>
      <c r="AZ11" s="37"/>
      <c r="BA11" s="35"/>
      <c r="BB11" s="37"/>
      <c r="BC11" s="35"/>
      <c r="BD11" s="37"/>
      <c r="BE11" s="35"/>
      <c r="BF11" s="37"/>
      <c r="BG11" s="35"/>
      <c r="BH11" s="37"/>
      <c r="BI11" s="35"/>
      <c r="BJ11" s="37"/>
      <c r="BK11" s="35"/>
      <c r="BL11" s="37"/>
      <c r="BM11" s="7">
        <f t="shared" si="0"/>
        <v>50</v>
      </c>
      <c r="BN11" s="5" t="s">
        <v>20</v>
      </c>
    </row>
    <row r="12" s="1" customFormat="1" spans="1:66">
      <c r="A12" s="35"/>
      <c r="B12" s="45" t="s">
        <v>22</v>
      </c>
      <c r="C12" s="35"/>
      <c r="D12" s="15"/>
      <c r="E12" s="35"/>
      <c r="F12" s="37"/>
      <c r="G12" s="35"/>
      <c r="H12" s="37"/>
      <c r="I12" s="35"/>
      <c r="J12" s="37"/>
      <c r="K12" s="35"/>
      <c r="L12" s="37"/>
      <c r="M12" s="35"/>
      <c r="N12" s="37"/>
      <c r="O12" s="35"/>
      <c r="P12" s="37"/>
      <c r="Q12" s="35"/>
      <c r="R12" s="37"/>
      <c r="S12" s="35"/>
      <c r="T12" s="37"/>
      <c r="U12" s="15"/>
      <c r="V12" s="37"/>
      <c r="W12" s="35"/>
      <c r="X12" s="37"/>
      <c r="Y12" s="35"/>
      <c r="Z12" s="15"/>
      <c r="AA12" s="35"/>
      <c r="AB12" s="15"/>
      <c r="AC12" s="35"/>
      <c r="AD12" s="15"/>
      <c r="AE12" s="35"/>
      <c r="AF12" s="15"/>
      <c r="AG12" s="35"/>
      <c r="AH12" s="15"/>
      <c r="AI12" s="35"/>
      <c r="AJ12" s="15"/>
      <c r="AK12" s="35"/>
      <c r="AL12" s="15"/>
      <c r="AM12" s="35"/>
      <c r="AN12" s="15"/>
      <c r="AO12" s="35"/>
      <c r="AP12" s="15"/>
      <c r="AQ12" s="35"/>
      <c r="AR12" s="15"/>
      <c r="AS12" s="35"/>
      <c r="AT12" s="15"/>
      <c r="AU12" s="35"/>
      <c r="AV12" s="37"/>
      <c r="AW12" s="15"/>
      <c r="AX12" s="37"/>
      <c r="AY12" s="35"/>
      <c r="AZ12" s="37"/>
      <c r="BA12" s="35"/>
      <c r="BB12" s="37"/>
      <c r="BC12" s="35"/>
      <c r="BD12" s="37"/>
      <c r="BE12" s="35"/>
      <c r="BF12" s="37"/>
      <c r="BG12" s="35"/>
      <c r="BH12" s="37"/>
      <c r="BI12" s="35"/>
      <c r="BJ12" s="37"/>
      <c r="BK12" s="35"/>
      <c r="BL12" s="37"/>
      <c r="BM12" s="7">
        <f t="shared" si="0"/>
        <v>0</v>
      </c>
      <c r="BN12" s="5" t="s">
        <v>22</v>
      </c>
    </row>
    <row r="13" s="1" customFormat="1" spans="1:66">
      <c r="A13" s="35"/>
      <c r="B13" s="45" t="s">
        <v>25</v>
      </c>
      <c r="C13" s="35"/>
      <c r="D13" s="15"/>
      <c r="E13" s="35"/>
      <c r="F13" s="37"/>
      <c r="G13" s="35"/>
      <c r="H13" s="37"/>
      <c r="I13" s="35"/>
      <c r="J13" s="37"/>
      <c r="K13" s="35"/>
      <c r="L13" s="37"/>
      <c r="M13" s="35"/>
      <c r="N13" s="37"/>
      <c r="O13" s="35"/>
      <c r="P13" s="37"/>
      <c r="Q13" s="35"/>
      <c r="R13" s="37"/>
      <c r="S13" s="35"/>
      <c r="T13" s="37"/>
      <c r="U13" s="15"/>
      <c r="V13" s="37"/>
      <c r="W13" s="35"/>
      <c r="X13" s="37"/>
      <c r="Y13" s="35"/>
      <c r="Z13" s="15"/>
      <c r="AA13" s="35"/>
      <c r="AB13" s="15"/>
      <c r="AC13" s="35" t="s">
        <v>93</v>
      </c>
      <c r="AD13" s="15">
        <f>750+350</f>
        <v>1100</v>
      </c>
      <c r="AE13" s="35"/>
      <c r="AF13" s="15"/>
      <c r="AG13" s="35"/>
      <c r="AH13" s="15"/>
      <c r="AI13" s="35" t="s">
        <v>94</v>
      </c>
      <c r="AJ13" s="15">
        <v>225</v>
      </c>
      <c r="AK13" s="35"/>
      <c r="AL13" s="15"/>
      <c r="AM13" s="35"/>
      <c r="AN13" s="15"/>
      <c r="AO13" s="35"/>
      <c r="AP13" s="15"/>
      <c r="AQ13" s="35"/>
      <c r="AR13" s="15"/>
      <c r="AS13" s="35"/>
      <c r="AT13" s="15"/>
      <c r="AU13" s="35"/>
      <c r="AV13" s="37"/>
      <c r="AW13" s="15"/>
      <c r="AX13" s="37"/>
      <c r="AY13" s="35"/>
      <c r="AZ13" s="37"/>
      <c r="BA13" s="35"/>
      <c r="BB13" s="37"/>
      <c r="BC13" s="35"/>
      <c r="BD13" s="37"/>
      <c r="BE13" s="35"/>
      <c r="BF13" s="37"/>
      <c r="BG13" s="35"/>
      <c r="BH13" s="37"/>
      <c r="BI13" s="35"/>
      <c r="BJ13" s="37"/>
      <c r="BK13" s="35"/>
      <c r="BL13" s="37"/>
      <c r="BM13" s="7">
        <f t="shared" si="0"/>
        <v>1325</v>
      </c>
      <c r="BN13" s="5" t="s">
        <v>25</v>
      </c>
    </row>
    <row r="14" s="1" customFormat="1" spans="1:66">
      <c r="A14" s="10" t="s">
        <v>26</v>
      </c>
      <c r="B14" s="46" t="s">
        <v>27</v>
      </c>
      <c r="C14" s="5"/>
      <c r="D14" s="10"/>
      <c r="E14" s="5" t="s">
        <v>95</v>
      </c>
      <c r="F14" s="10">
        <v>26.9</v>
      </c>
      <c r="G14" s="5"/>
      <c r="H14" s="10"/>
      <c r="I14" s="5"/>
      <c r="J14" s="10"/>
      <c r="K14" s="5"/>
      <c r="L14" s="10"/>
      <c r="M14" s="5"/>
      <c r="N14" s="10"/>
      <c r="O14" s="5" t="s">
        <v>96</v>
      </c>
      <c r="P14" s="10">
        <v>50</v>
      </c>
      <c r="Q14" s="5"/>
      <c r="R14" s="10"/>
      <c r="S14" s="5"/>
      <c r="T14" s="10"/>
      <c r="U14" s="5"/>
      <c r="V14" s="10"/>
      <c r="W14" s="5" t="s">
        <v>97</v>
      </c>
      <c r="X14" s="10">
        <v>30</v>
      </c>
      <c r="Y14" s="5" t="s">
        <v>98</v>
      </c>
      <c r="Z14" s="10">
        <v>243</v>
      </c>
      <c r="AA14" s="5"/>
      <c r="AB14" s="10"/>
      <c r="AC14" s="5" t="s">
        <v>99</v>
      </c>
      <c r="AD14" s="10">
        <f>6+23+35</f>
        <v>64</v>
      </c>
      <c r="AE14" s="5"/>
      <c r="AF14" s="10"/>
      <c r="AG14" s="5"/>
      <c r="AH14" s="10"/>
      <c r="AI14" s="5"/>
      <c r="AJ14" s="10"/>
      <c r="AK14" s="5"/>
      <c r="AL14" s="10"/>
      <c r="AM14" s="5" t="s">
        <v>54</v>
      </c>
      <c r="AN14" s="10">
        <v>24</v>
      </c>
      <c r="AO14" s="5"/>
      <c r="AP14" s="10"/>
      <c r="AQ14" s="5" t="s">
        <v>54</v>
      </c>
      <c r="AR14" s="10">
        <v>32.5</v>
      </c>
      <c r="AS14" s="5"/>
      <c r="AT14" s="10"/>
      <c r="AU14" s="5"/>
      <c r="AV14" s="10"/>
      <c r="AW14" s="5"/>
      <c r="AX14" s="10"/>
      <c r="AY14" s="5" t="s">
        <v>100</v>
      </c>
      <c r="AZ14" s="10">
        <f>20+50</f>
        <v>70</v>
      </c>
      <c r="BA14" s="5"/>
      <c r="BB14" s="10"/>
      <c r="BC14" s="5" t="s">
        <v>101</v>
      </c>
      <c r="BD14" s="10">
        <v>10.6</v>
      </c>
      <c r="BE14" s="5"/>
      <c r="BF14" s="10"/>
      <c r="BG14" s="5"/>
      <c r="BH14" s="10"/>
      <c r="BI14" s="10"/>
      <c r="BJ14" s="10"/>
      <c r="BK14" s="10"/>
      <c r="BL14" s="10"/>
      <c r="BM14" s="7">
        <f t="shared" si="0"/>
        <v>551</v>
      </c>
      <c r="BN14" s="5" t="s">
        <v>27</v>
      </c>
    </row>
    <row r="15" s="1" customFormat="1" spans="1:66">
      <c r="A15" s="10" t="s">
        <v>29</v>
      </c>
      <c r="B15" s="46" t="s">
        <v>30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0</v>
      </c>
      <c r="BN15" s="5" t="s">
        <v>31</v>
      </c>
    </row>
    <row r="16" s="1" customFormat="1" spans="1:66">
      <c r="A16" s="10" t="s">
        <v>32</v>
      </c>
      <c r="B16" s="46" t="s">
        <v>33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/>
      <c r="BJ16" s="10"/>
      <c r="BK16" s="10"/>
      <c r="BL16" s="10"/>
      <c r="BM16" s="7">
        <f t="shared" si="0"/>
        <v>0</v>
      </c>
      <c r="BN16" s="5" t="s">
        <v>34</v>
      </c>
    </row>
    <row r="17" s="1" customFormat="1" spans="1:66">
      <c r="A17" s="10" t="s">
        <v>35</v>
      </c>
      <c r="B17" s="46" t="s">
        <v>102</v>
      </c>
      <c r="C17" s="5"/>
      <c r="D17" s="10"/>
      <c r="E17" s="5"/>
      <c r="F17" s="10"/>
      <c r="G17" s="5"/>
      <c r="H17" s="10">
        <v>4</v>
      </c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 t="s">
        <v>103</v>
      </c>
      <c r="AR17" s="10">
        <v>30</v>
      </c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 t="s">
        <v>74</v>
      </c>
      <c r="BD17" s="10">
        <v>111.9</v>
      </c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145.9</v>
      </c>
      <c r="BN17" s="5" t="s">
        <v>36</v>
      </c>
    </row>
    <row r="18" s="1" customFormat="1" ht="17" spans="1:66">
      <c r="A18" s="11" t="s">
        <v>37</v>
      </c>
      <c r="B18" s="10" t="s">
        <v>38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 t="s">
        <v>104</v>
      </c>
      <c r="R18" s="10">
        <v>770</v>
      </c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5"/>
      <c r="BL18" s="10"/>
      <c r="BM18" s="7">
        <f t="shared" si="0"/>
        <v>770</v>
      </c>
      <c r="BN18" s="5" t="s">
        <v>38</v>
      </c>
    </row>
    <row r="19" s="1" customFormat="1" spans="1:66">
      <c r="A19" s="10"/>
      <c r="B19" s="12" t="s">
        <v>40</v>
      </c>
      <c r="C19" s="10">
        <f>SUM(C3:D18)</f>
        <v>25</v>
      </c>
      <c r="D19" s="8"/>
      <c r="E19" s="10">
        <f>SUM(E3:F18)</f>
        <v>84.9</v>
      </c>
      <c r="F19" s="8"/>
      <c r="G19" s="10">
        <f>SUM(G3:H18)</f>
        <v>54.8</v>
      </c>
      <c r="H19" s="8"/>
      <c r="I19" s="10">
        <f>SUM(I3:J18)</f>
        <v>163.1</v>
      </c>
      <c r="J19" s="8"/>
      <c r="K19" s="10">
        <f>SUM(K3:L18)</f>
        <v>43.8</v>
      </c>
      <c r="L19" s="8"/>
      <c r="M19" s="10">
        <f>SUM(M3:N18)</f>
        <v>71.3</v>
      </c>
      <c r="N19" s="8"/>
      <c r="O19" s="10">
        <f>SUM(O3:P18)</f>
        <v>89.1</v>
      </c>
      <c r="P19" s="8"/>
      <c r="Q19" s="10">
        <f>SUM(Q3:R18)</f>
        <v>910.6</v>
      </c>
      <c r="R19" s="8"/>
      <c r="S19" s="10">
        <f>SUM(S3:T18)</f>
        <v>101.1</v>
      </c>
      <c r="T19" s="8"/>
      <c r="U19" s="10">
        <f>SUM(U3:V18)</f>
        <v>36</v>
      </c>
      <c r="V19" s="8"/>
      <c r="W19" s="10">
        <f>SUM(W3:X18)</f>
        <v>152</v>
      </c>
      <c r="X19" s="8"/>
      <c r="Y19" s="10">
        <f>SUM(Y3:Z18)</f>
        <v>261</v>
      </c>
      <c r="Z19" s="8"/>
      <c r="AA19" s="10">
        <f>SUM(AA3:AB18)</f>
        <v>145</v>
      </c>
      <c r="AB19" s="8"/>
      <c r="AC19" s="10">
        <f>SUM(AC3:AD18)</f>
        <v>1483.4</v>
      </c>
      <c r="AD19" s="8"/>
      <c r="AE19" s="10">
        <f>SUM(AE3:AF18)</f>
        <v>43.6</v>
      </c>
      <c r="AF19" s="8"/>
      <c r="AG19" s="10">
        <f>SUM(AG3:AH18)</f>
        <v>58</v>
      </c>
      <c r="AH19" s="8"/>
      <c r="AI19" s="10">
        <f>SUM(AI3:AJ18)</f>
        <v>292</v>
      </c>
      <c r="AJ19" s="8"/>
      <c r="AK19" s="10">
        <f>SUM(AK3:AL18)</f>
        <v>42.9</v>
      </c>
      <c r="AL19" s="8"/>
      <c r="AM19" s="10">
        <f>SUM(AM3:AN18)</f>
        <v>629</v>
      </c>
      <c r="AN19" s="8"/>
      <c r="AO19" s="10">
        <f>SUM(AO3:AP18)</f>
        <v>16</v>
      </c>
      <c r="AP19" s="8"/>
      <c r="AQ19" s="10">
        <f>SUM(AQ3:AR18)</f>
        <v>171.4</v>
      </c>
      <c r="AR19" s="8"/>
      <c r="AS19" s="10">
        <f>SUM(AS3:AT18)</f>
        <v>94</v>
      </c>
      <c r="AT19" s="8"/>
      <c r="AU19" s="10">
        <f>SUM(AU3:AV18)</f>
        <v>56.6</v>
      </c>
      <c r="AV19" s="8"/>
      <c r="AW19" s="10">
        <f>SUM(AW3:AX18)</f>
        <v>20</v>
      </c>
      <c r="AX19" s="8"/>
      <c r="AY19" s="10">
        <f>SUM(AY3:AZ18)</f>
        <v>138.6</v>
      </c>
      <c r="AZ19" s="8"/>
      <c r="BA19" s="10">
        <f>SUM(BA3:BB18)</f>
        <v>26.6</v>
      </c>
      <c r="BB19" s="8"/>
      <c r="BC19" s="10">
        <f>SUM(BC3:BD18)</f>
        <v>199.7</v>
      </c>
      <c r="BD19" s="8"/>
      <c r="BE19" s="10">
        <f>SUM(BE3:BF18)</f>
        <v>82.4</v>
      </c>
      <c r="BF19" s="8"/>
      <c r="BG19" s="10">
        <f>SUM(BG3:BH18)</f>
        <v>43.1</v>
      </c>
      <c r="BH19" s="8"/>
      <c r="BI19" s="10">
        <f>SUM(BI3:BJ18)</f>
        <v>80.5</v>
      </c>
      <c r="BJ19" s="8"/>
      <c r="BK19" s="10">
        <f>SUM(BK3:BL18)</f>
        <v>225</v>
      </c>
      <c r="BL19" s="8"/>
      <c r="BM19" s="13">
        <f t="shared" si="0"/>
        <v>5840.5</v>
      </c>
      <c r="BN19" s="12" t="s">
        <v>40</v>
      </c>
    </row>
    <row r="20" s="30" customFormat="1" spans="1:66">
      <c r="A20" s="5" t="s">
        <v>41</v>
      </c>
      <c r="B20" s="14" t="s">
        <v>42</v>
      </c>
      <c r="C20" s="17"/>
      <c r="D20" s="47"/>
      <c r="E20" s="17"/>
      <c r="F20" s="47"/>
      <c r="G20" s="17"/>
      <c r="H20" s="47"/>
      <c r="I20" s="17"/>
      <c r="J20" s="47"/>
      <c r="K20" s="17"/>
      <c r="L20" s="47"/>
      <c r="M20" s="17"/>
      <c r="N20" s="47"/>
      <c r="O20" s="17"/>
      <c r="P20" s="47"/>
      <c r="Q20" s="17"/>
      <c r="R20" s="47"/>
      <c r="S20" s="17"/>
      <c r="T20" s="47"/>
      <c r="U20" s="17"/>
      <c r="V20" s="47"/>
      <c r="Y20" s="17"/>
      <c r="Z20" s="47"/>
      <c r="AA20" s="17"/>
      <c r="AB20" s="47"/>
      <c r="AI20" s="17"/>
      <c r="AJ20" s="47"/>
      <c r="AK20" s="17"/>
      <c r="AL20" s="47"/>
      <c r="AM20" s="17"/>
      <c r="AN20" s="47"/>
      <c r="AO20" s="17"/>
      <c r="AP20" s="47"/>
      <c r="AQ20" s="17"/>
      <c r="AR20" s="47"/>
      <c r="AS20" s="17"/>
      <c r="AT20" s="47"/>
      <c r="AU20" s="17"/>
      <c r="AV20" s="47"/>
      <c r="AW20" s="17"/>
      <c r="AX20" s="47"/>
      <c r="AY20" s="17"/>
      <c r="AZ20" s="47"/>
      <c r="BA20" s="17"/>
      <c r="BB20" s="47"/>
      <c r="BC20" s="17"/>
      <c r="BD20" s="47"/>
      <c r="BE20" s="17"/>
      <c r="BF20" s="47"/>
      <c r="BG20" s="17"/>
      <c r="BH20" s="47"/>
      <c r="BI20" s="47"/>
      <c r="BJ20" s="47"/>
      <c r="BK20" s="47"/>
      <c r="BL20" s="47"/>
      <c r="BM20" s="7">
        <f t="shared" si="0"/>
        <v>0</v>
      </c>
      <c r="BN20" s="14" t="s">
        <v>42</v>
      </c>
    </row>
    <row r="21" s="1" customFormat="1" spans="1:66">
      <c r="A21" s="15"/>
      <c r="B21" s="14" t="s">
        <v>43</v>
      </c>
      <c r="C21" s="48"/>
      <c r="D21" s="48"/>
      <c r="E21" s="48"/>
      <c r="F21" s="48"/>
      <c r="G21" s="48"/>
      <c r="H21" s="48"/>
      <c r="I21" s="48" t="s">
        <v>44</v>
      </c>
      <c r="J21" s="48">
        <v>200</v>
      </c>
      <c r="K21" s="48" t="s">
        <v>105</v>
      </c>
      <c r="L21" s="48">
        <v>200</v>
      </c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55"/>
      <c r="X21" s="56"/>
      <c r="Y21" s="48"/>
      <c r="Z21" s="48"/>
      <c r="AA21" s="48"/>
      <c r="AB21" s="48"/>
      <c r="AC21" s="55"/>
      <c r="AD21" s="56"/>
      <c r="AE21" s="55"/>
      <c r="AF21" s="56"/>
      <c r="AG21" s="55"/>
      <c r="AH21" s="56"/>
      <c r="AI21" s="48"/>
      <c r="AJ21" s="48"/>
      <c r="AK21" s="48"/>
      <c r="AL21" s="48"/>
      <c r="AM21" s="48"/>
      <c r="AN21" s="48"/>
      <c r="AO21" s="48"/>
      <c r="AP21" s="48"/>
      <c r="AQ21" s="48" t="s">
        <v>105</v>
      </c>
      <c r="AR21" s="48">
        <v>1000</v>
      </c>
      <c r="AS21" s="48" t="s">
        <v>44</v>
      </c>
      <c r="AT21" s="48">
        <v>1570</v>
      </c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13">
        <f t="shared" si="0"/>
        <v>2970</v>
      </c>
      <c r="BN21" s="14" t="s">
        <v>43</v>
      </c>
    </row>
    <row r="22" s="1" customFormat="1" spans="1:66">
      <c r="A22" s="15"/>
      <c r="B22" s="16" t="s">
        <v>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 t="s">
        <v>106</v>
      </c>
      <c r="V22" s="16">
        <v>230</v>
      </c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7"/>
      <c r="AP22" s="57"/>
      <c r="AQ22" s="57"/>
      <c r="AR22" s="5"/>
      <c r="AS22" s="5"/>
      <c r="AT22" s="5"/>
      <c r="AU22" s="5"/>
      <c r="AV22" s="5"/>
      <c r="AW22" s="5"/>
      <c r="AX22" s="5"/>
      <c r="AY22" s="48"/>
      <c r="AZ22" s="48"/>
      <c r="BA22" s="5"/>
      <c r="BB22" s="5"/>
      <c r="BC22" s="5"/>
      <c r="BD22" s="59"/>
      <c r="BE22" s="59"/>
      <c r="BF22" s="59"/>
      <c r="BG22" s="59"/>
      <c r="BH22" s="59"/>
      <c r="BI22" s="59"/>
      <c r="BJ22" s="59"/>
      <c r="BK22" s="59"/>
      <c r="BL22" s="59"/>
      <c r="BM22" s="7">
        <f t="shared" si="0"/>
        <v>230</v>
      </c>
      <c r="BN22" s="16" t="s">
        <v>45</v>
      </c>
    </row>
    <row r="23" s="30" customFormat="1" spans="1:66">
      <c r="A23" s="15"/>
      <c r="B23" s="16" t="s">
        <v>46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16"/>
      <c r="AP23" s="16"/>
      <c r="AQ23" s="16" t="s">
        <v>107</v>
      </c>
      <c r="AR23" s="5">
        <v>200</v>
      </c>
      <c r="AS23" s="5"/>
      <c r="AT23" s="5"/>
      <c r="AU23" s="5"/>
      <c r="AV23" s="5"/>
      <c r="AW23" s="5"/>
      <c r="AX23" s="5"/>
      <c r="AY23" s="48"/>
      <c r="AZ23" s="48"/>
      <c r="BA23" s="5"/>
      <c r="BB23" s="5"/>
      <c r="BC23" s="5"/>
      <c r="BD23" s="17"/>
      <c r="BE23" s="17"/>
      <c r="BF23" s="17"/>
      <c r="BG23" s="17"/>
      <c r="BH23" s="17"/>
      <c r="BI23" s="17"/>
      <c r="BJ23" s="17"/>
      <c r="BK23" s="17"/>
      <c r="BL23" s="17"/>
      <c r="BM23" s="7">
        <f t="shared" si="0"/>
        <v>200</v>
      </c>
      <c r="BN23" s="16" t="s">
        <v>46</v>
      </c>
    </row>
    <row r="24" s="1" customFormat="1" ht="17.6" spans="1:65">
      <c r="A24" s="15"/>
      <c r="B24"/>
      <c r="C24" s="21"/>
      <c r="D24" s="21"/>
      <c r="E24" s="30"/>
      <c r="F24" s="30"/>
      <c r="G24" s="30"/>
      <c r="H24" s="30"/>
      <c r="I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0"/>
      <c r="BE24" s="60"/>
      <c r="BF24" s="60"/>
      <c r="BG24" s="60"/>
      <c r="BH24" s="60"/>
      <c r="BI24" s="60"/>
      <c r="BJ24" s="60"/>
      <c r="BK24" s="60"/>
      <c r="BL24" s="60"/>
      <c r="BM24" s="60"/>
    </row>
    <row r="25" s="1" customFormat="1" ht="17.6" spans="1:65">
      <c r="A25" s="15"/>
      <c r="B25"/>
      <c r="C25"/>
      <c r="D25"/>
      <c r="E25"/>
      <c r="F25"/>
      <c r="G25"/>
      <c r="H25" s="30"/>
      <c r="I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0"/>
      <c r="BE25" s="60"/>
      <c r="BF25" s="60"/>
      <c r="BG25" s="60"/>
      <c r="BH25" s="60"/>
      <c r="BI25" s="60"/>
      <c r="BJ25" s="60"/>
      <c r="BK25" s="60"/>
      <c r="BL25" s="60"/>
      <c r="BM25" s="60"/>
    </row>
    <row r="26" s="1" customFormat="1" ht="17.6" spans="1:65">
      <c r="A26" s="15"/>
      <c r="B26" s="30"/>
      <c r="C26"/>
      <c r="D26"/>
      <c r="E26"/>
      <c r="F26"/>
      <c r="G26"/>
      <c r="H26" s="30"/>
      <c r="I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0"/>
      <c r="BE26" s="60"/>
      <c r="BF26" s="60"/>
      <c r="BG26" s="60"/>
      <c r="BH26" s="60"/>
      <c r="BI26" s="60"/>
      <c r="BJ26" s="60"/>
      <c r="BK26" s="60"/>
      <c r="BL26" s="60"/>
      <c r="BM26" s="60"/>
    </row>
    <row r="27" s="1" customFormat="1" ht="17.6" spans="1:65">
      <c r="A27" s="15"/>
      <c r="B27" s="30"/>
      <c r="C27"/>
      <c r="D27"/>
      <c r="E27"/>
      <c r="F27"/>
      <c r="G27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0"/>
      <c r="C28" s="30"/>
      <c r="D28" s="15"/>
      <c r="E28" s="15"/>
      <c r="F28" s="15"/>
      <c r="G28" s="15"/>
      <c r="H28" s="15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0"/>
      <c r="C29" s="30"/>
      <c r="D29" s="15"/>
      <c r="E29" s="15"/>
      <c r="F29" s="15"/>
      <c r="G29" s="15"/>
      <c r="H29" s="1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0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0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0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0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1">
    <mergeCell ref="C1:D1"/>
    <mergeCell ref="AA1:AB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C24:D24"/>
    <mergeCell ref="A3:A6"/>
    <mergeCell ref="A7:A13"/>
    <mergeCell ref="BM3:BM6"/>
  </mergeCells>
  <pageMargins left="0.75" right="0.75" top="1" bottom="1" header="0.511805555555556" footer="0.511805555555556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L37"/>
  <sheetViews>
    <sheetView zoomScale="84" zoomScaleNormal="84" topLeftCell="AI1" workbookViewId="0">
      <pane xSplit="27980" topLeftCell="AF1" activePane="topLeft"/>
      <selection activeCell="AD14" sqref="AD14"/>
      <selection pane="topRight"/>
    </sheetView>
  </sheetViews>
  <sheetFormatPr defaultColWidth="9.11607142857143" defaultRowHeight="16.8"/>
  <cols>
    <col min="1" max="1" width="5.57142857142857" style="1" customWidth="1"/>
    <col min="2" max="2" width="9.57142857142857" style="1" customWidth="1"/>
    <col min="3" max="3" width="5.57142857142857" style="1" customWidth="1"/>
    <col min="4" max="4" width="7.14285714285714" style="1" customWidth="1"/>
    <col min="5" max="5" width="5.57142857142857" style="1" customWidth="1"/>
    <col min="6" max="6" width="6.21428571428571" style="1" customWidth="1"/>
    <col min="7" max="7" width="5.57142857142857" style="1" customWidth="1"/>
    <col min="8" max="8" width="6.21428571428571" style="1" customWidth="1"/>
    <col min="9" max="9" width="9.57142857142857" style="1" customWidth="1"/>
    <col min="10" max="10" width="7.14285714285714" style="1" customWidth="1"/>
    <col min="11" max="11" width="5.57142857142857" style="1" customWidth="1"/>
    <col min="12" max="12" width="6.21428571428571" style="1" customWidth="1"/>
    <col min="13" max="13" width="11.7142857142857" style="1" customWidth="1"/>
    <col min="14" max="14" width="6.21428571428571" style="1" customWidth="1"/>
    <col min="15" max="15" width="5.57142857142857" style="1" customWidth="1"/>
    <col min="16" max="16" width="6.21428571428571" style="1" customWidth="1"/>
    <col min="17" max="17" width="8.67857142857143" style="1" customWidth="1"/>
    <col min="18" max="18" width="6.21428571428571" style="1" customWidth="1"/>
    <col min="19" max="19" width="5.57142857142857" style="1" customWidth="1"/>
    <col min="20" max="20" width="6.21428571428571" style="1" customWidth="1"/>
    <col min="21" max="21" width="5.57142857142857" style="1" customWidth="1"/>
    <col min="22" max="22" width="6.21428571428571" style="1" customWidth="1"/>
    <col min="23" max="23" width="5.57142857142857" style="1" customWidth="1"/>
    <col min="24" max="24" width="6.21428571428571" style="1" customWidth="1"/>
    <col min="25" max="25" width="5.57142857142857" style="1" customWidth="1"/>
    <col min="26" max="26" width="7.78571428571429" style="1" customWidth="1"/>
    <col min="27" max="27" width="7.57142857142857" style="1" customWidth="1"/>
    <col min="28" max="28" width="7.78571428571429" style="1" customWidth="1"/>
    <col min="29" max="29" width="9.57142857142857" style="1" customWidth="1"/>
    <col min="30" max="30" width="7.14285714285714" style="1" customWidth="1"/>
    <col min="31" max="31" width="7.07142857142857" style="1" customWidth="1"/>
    <col min="32" max="32" width="6.21428571428571" style="1" customWidth="1"/>
    <col min="33" max="33" width="5.14285714285714" style="1" customWidth="1"/>
    <col min="34" max="34" width="6.21428571428571" style="1" customWidth="1"/>
    <col min="35" max="35" width="7.07142857142857" style="1" customWidth="1"/>
    <col min="36" max="36" width="6.21428571428571" style="1" customWidth="1"/>
    <col min="37" max="37" width="7.57142857142857" style="1" customWidth="1"/>
    <col min="38" max="38" width="6.21428571428571" style="1" customWidth="1"/>
    <col min="39" max="39" width="11" style="1" customWidth="1"/>
    <col min="40" max="40" width="6.21428571428571" style="1" customWidth="1"/>
    <col min="41" max="41" width="8.07142857142857" style="1" customWidth="1"/>
    <col min="42" max="42" width="5.28571428571429" style="1" customWidth="1"/>
    <col min="43" max="43" width="5.57142857142857" style="1" customWidth="1"/>
    <col min="44" max="44" width="6.21428571428571" style="1" customWidth="1"/>
    <col min="45" max="45" width="5.57142857142857" style="1" customWidth="1"/>
    <col min="46" max="46" width="6.21428571428571" style="1" customWidth="1"/>
    <col min="47" max="47" width="7.57142857142857" style="1" customWidth="1"/>
    <col min="48" max="48" width="6.21428571428571" style="1" customWidth="1"/>
    <col min="49" max="49" width="5.57142857142857" style="1" customWidth="1"/>
    <col min="50" max="50" width="6.21428571428571" style="1" customWidth="1"/>
    <col min="51" max="51" width="19.2142857142857" style="1" customWidth="1"/>
    <col min="52" max="52" width="7.14285714285714" style="1" customWidth="1"/>
    <col min="53" max="53" width="7.57142857142857" style="1" customWidth="1"/>
    <col min="54" max="54" width="7.14285714285714" style="1" customWidth="1"/>
    <col min="55" max="55" width="11" style="1" customWidth="1"/>
    <col min="56" max="56" width="6.21428571428571" style="1" customWidth="1"/>
    <col min="57" max="57" width="5.57142857142857" style="1" customWidth="1"/>
    <col min="58" max="58" width="6.21428571428571" style="1" customWidth="1"/>
    <col min="59" max="59" width="7.57142857142857" style="1" customWidth="1"/>
    <col min="60" max="60" width="6.21428571428571" style="1" customWidth="1"/>
    <col min="61" max="61" width="12.5714285714286" style="1" customWidth="1"/>
    <col min="62" max="62" width="6.21428571428571" style="1" customWidth="1"/>
    <col min="63" max="63" width="7.57142857142857" style="1" customWidth="1"/>
    <col min="64" max="64" width="14" style="1" customWidth="1"/>
    <col min="65" max="14411" width="8.24107142857143" style="1"/>
    <col min="14412" max="16384" width="9.11607142857143" style="1"/>
  </cols>
  <sheetData>
    <row r="1" s="1" customFormat="1" spans="3:58">
      <c r="C1" s="31"/>
      <c r="D1" s="31"/>
      <c r="E1" s="31"/>
      <c r="F1" s="31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28"/>
      <c r="T1" s="28"/>
      <c r="U1" s="28"/>
      <c r="V1" s="28"/>
      <c r="W1" s="28"/>
      <c r="X1" s="28"/>
      <c r="Y1" s="28"/>
      <c r="Z1" s="28"/>
      <c r="AK1" s="16"/>
      <c r="AL1" s="16"/>
      <c r="BA1" s="58"/>
      <c r="BB1" s="58"/>
      <c r="BE1" s="61"/>
      <c r="BF1" s="61"/>
    </row>
    <row r="2" s="1" customFormat="1" spans="1:64">
      <c r="A2" s="41" t="s">
        <v>108</v>
      </c>
      <c r="B2" s="33" t="s">
        <v>1</v>
      </c>
      <c r="C2" s="34">
        <v>44652</v>
      </c>
      <c r="D2" s="3"/>
      <c r="E2" s="34">
        <v>44653</v>
      </c>
      <c r="F2" s="3"/>
      <c r="G2" s="34">
        <v>44654</v>
      </c>
      <c r="H2" s="3"/>
      <c r="I2" s="34">
        <v>44655</v>
      </c>
      <c r="J2" s="3"/>
      <c r="K2" s="34">
        <v>44656</v>
      </c>
      <c r="L2" s="3"/>
      <c r="M2" s="34">
        <v>44657</v>
      </c>
      <c r="N2" s="3"/>
      <c r="O2" s="34">
        <v>44658</v>
      </c>
      <c r="P2" s="3"/>
      <c r="Q2" s="34">
        <v>44659</v>
      </c>
      <c r="R2" s="3"/>
      <c r="S2" s="34">
        <v>44660</v>
      </c>
      <c r="T2" s="3"/>
      <c r="U2" s="34">
        <v>44661</v>
      </c>
      <c r="V2" s="3"/>
      <c r="W2" s="34">
        <v>44662</v>
      </c>
      <c r="X2" s="3"/>
      <c r="Y2" s="34">
        <v>44663</v>
      </c>
      <c r="Z2" s="3"/>
      <c r="AA2" s="34">
        <v>44664</v>
      </c>
      <c r="AB2" s="3"/>
      <c r="AC2" s="34">
        <v>44665</v>
      </c>
      <c r="AD2" s="3"/>
      <c r="AE2" s="34">
        <v>44666</v>
      </c>
      <c r="AF2" s="3"/>
      <c r="AG2" s="34">
        <v>44667</v>
      </c>
      <c r="AH2" s="3"/>
      <c r="AI2" s="34">
        <v>44668</v>
      </c>
      <c r="AJ2" s="3"/>
      <c r="AK2" s="34">
        <v>44669</v>
      </c>
      <c r="AL2" s="3"/>
      <c r="AM2" s="34">
        <v>44670</v>
      </c>
      <c r="AN2" s="3"/>
      <c r="AO2" s="34">
        <v>44671</v>
      </c>
      <c r="AP2" s="3"/>
      <c r="AQ2" s="34">
        <v>44672</v>
      </c>
      <c r="AR2" s="3"/>
      <c r="AS2" s="34">
        <v>44673</v>
      </c>
      <c r="AT2" s="3"/>
      <c r="AU2" s="34">
        <v>44674</v>
      </c>
      <c r="AV2" s="3"/>
      <c r="AW2" s="34">
        <v>44675</v>
      </c>
      <c r="AX2" s="3"/>
      <c r="AY2" s="34">
        <v>44676</v>
      </c>
      <c r="AZ2" s="3"/>
      <c r="BA2" s="34">
        <v>44677</v>
      </c>
      <c r="BB2" s="3"/>
      <c r="BC2" s="34">
        <v>44678</v>
      </c>
      <c r="BD2" s="3"/>
      <c r="BE2" s="34">
        <v>44679</v>
      </c>
      <c r="BF2" s="3"/>
      <c r="BG2" s="34">
        <v>44680</v>
      </c>
      <c r="BH2" s="3"/>
      <c r="BI2" s="34">
        <v>44681</v>
      </c>
      <c r="BJ2" s="3"/>
      <c r="BK2" s="34" t="s">
        <v>2</v>
      </c>
      <c r="BL2" s="33" t="s">
        <v>1</v>
      </c>
    </row>
    <row r="3" s="1" customFormat="1" spans="1:64">
      <c r="A3" s="35"/>
      <c r="B3" s="36" t="s">
        <v>4</v>
      </c>
      <c r="C3" s="35"/>
      <c r="D3" s="37"/>
      <c r="E3" s="51"/>
      <c r="F3" s="52"/>
      <c r="G3" s="15"/>
      <c r="H3" s="37"/>
      <c r="I3" s="35"/>
      <c r="J3" s="37"/>
      <c r="K3" s="35"/>
      <c r="L3" s="37"/>
      <c r="M3" s="35"/>
      <c r="N3" s="37"/>
      <c r="O3" s="35"/>
      <c r="P3" s="37"/>
      <c r="Q3" s="35"/>
      <c r="R3" s="37"/>
      <c r="S3" s="35"/>
      <c r="T3" s="37"/>
      <c r="U3" s="15"/>
      <c r="V3" s="37"/>
      <c r="W3" s="35"/>
      <c r="X3" s="37"/>
      <c r="Y3" s="35"/>
      <c r="Z3" s="15"/>
      <c r="AA3" s="35"/>
      <c r="AB3" s="15"/>
      <c r="AC3" s="35"/>
      <c r="AD3" s="15"/>
      <c r="AE3" s="35"/>
      <c r="AF3" s="15"/>
      <c r="AG3" s="35"/>
      <c r="AH3" s="15"/>
      <c r="AI3" s="35"/>
      <c r="AJ3" s="15"/>
      <c r="AK3" s="35"/>
      <c r="AL3" s="15"/>
      <c r="AM3" s="35"/>
      <c r="AN3" s="15"/>
      <c r="AO3" s="35"/>
      <c r="AP3" s="15"/>
      <c r="AQ3" s="35"/>
      <c r="AR3" s="15"/>
      <c r="AS3" s="35"/>
      <c r="AT3" s="15"/>
      <c r="AU3" s="35"/>
      <c r="AV3" s="37"/>
      <c r="AW3" s="15"/>
      <c r="AX3" s="37"/>
      <c r="AY3" s="35"/>
      <c r="AZ3" s="37"/>
      <c r="BA3" s="35"/>
      <c r="BB3" s="37"/>
      <c r="BC3" s="35"/>
      <c r="BD3" s="37"/>
      <c r="BE3" s="35"/>
      <c r="BF3" s="62"/>
      <c r="BG3" s="35"/>
      <c r="BH3" s="37"/>
      <c r="BI3" s="35"/>
      <c r="BJ3" s="37"/>
      <c r="BK3" s="7">
        <f>SUM(C3:BJ7)</f>
        <v>686.3</v>
      </c>
      <c r="BL3" s="36" t="s">
        <v>4</v>
      </c>
    </row>
    <row r="4" s="1" customFormat="1" spans="1:64">
      <c r="A4" s="35"/>
      <c r="B4" s="36" t="s">
        <v>5</v>
      </c>
      <c r="C4" s="35"/>
      <c r="D4" s="37">
        <v>11.5</v>
      </c>
      <c r="E4" s="15"/>
      <c r="F4" s="37">
        <v>11.5</v>
      </c>
      <c r="G4" s="15"/>
      <c r="H4" s="37">
        <v>12</v>
      </c>
      <c r="I4" s="35"/>
      <c r="J4" s="37">
        <v>21</v>
      </c>
      <c r="K4" s="35"/>
      <c r="L4" s="37">
        <v>14</v>
      </c>
      <c r="M4" s="35"/>
      <c r="N4" s="37">
        <v>15</v>
      </c>
      <c r="O4" s="35"/>
      <c r="P4" s="37">
        <v>9</v>
      </c>
      <c r="Q4" s="35"/>
      <c r="R4" s="37">
        <v>12.5</v>
      </c>
      <c r="S4" s="35"/>
      <c r="T4" s="37">
        <v>7.5</v>
      </c>
      <c r="U4" s="15"/>
      <c r="V4" s="37">
        <v>11.5</v>
      </c>
      <c r="W4" s="35"/>
      <c r="X4" s="37">
        <v>12.5</v>
      </c>
      <c r="Y4" s="35"/>
      <c r="Z4" s="37">
        <f>12.5+7.2</f>
        <v>19.7</v>
      </c>
      <c r="AB4" s="15">
        <v>10.5</v>
      </c>
      <c r="AC4" s="35"/>
      <c r="AD4" s="15">
        <v>12.5</v>
      </c>
      <c r="AE4" s="35"/>
      <c r="AF4" s="15">
        <v>12</v>
      </c>
      <c r="AG4" s="35"/>
      <c r="AH4" s="15">
        <v>13.6</v>
      </c>
      <c r="AI4" s="35"/>
      <c r="AJ4" s="15">
        <v>13</v>
      </c>
      <c r="AK4" s="35"/>
      <c r="AL4" s="15">
        <v>21</v>
      </c>
      <c r="AM4" s="35"/>
      <c r="AN4" s="15">
        <v>10</v>
      </c>
      <c r="AO4" s="35"/>
      <c r="AP4" s="15"/>
      <c r="AQ4" s="35"/>
      <c r="AR4" s="15"/>
      <c r="AS4" s="35"/>
      <c r="AT4" s="15"/>
      <c r="AU4" s="35"/>
      <c r="AV4" s="37"/>
      <c r="AW4" s="15"/>
      <c r="AX4" s="37"/>
      <c r="AY4" s="35"/>
      <c r="AZ4" s="37"/>
      <c r="BA4" s="35"/>
      <c r="BB4" s="37"/>
      <c r="BC4" s="35"/>
      <c r="BD4" s="37"/>
      <c r="BE4" s="35"/>
      <c r="BF4" s="62"/>
      <c r="BG4" s="35"/>
      <c r="BH4" s="37"/>
      <c r="BI4" s="35"/>
      <c r="BJ4" s="37"/>
      <c r="BK4" s="7"/>
      <c r="BL4" s="36" t="s">
        <v>5</v>
      </c>
    </row>
    <row r="5" s="1" customFormat="1" spans="1:64">
      <c r="A5" s="35"/>
      <c r="B5" s="36" t="s">
        <v>6</v>
      </c>
      <c r="C5" s="35"/>
      <c r="D5" s="15">
        <v>10.5</v>
      </c>
      <c r="E5" s="35"/>
      <c r="F5" s="15">
        <v>17</v>
      </c>
      <c r="G5" s="35"/>
      <c r="H5" s="15">
        <v>14.4</v>
      </c>
      <c r="I5" s="35"/>
      <c r="J5" s="37"/>
      <c r="K5" s="35"/>
      <c r="L5" s="37">
        <v>15.2</v>
      </c>
      <c r="M5" s="35"/>
      <c r="N5" s="37">
        <v>14.3</v>
      </c>
      <c r="O5" s="35"/>
      <c r="P5" s="37"/>
      <c r="Q5" s="35"/>
      <c r="R5" s="37">
        <v>12.9</v>
      </c>
      <c r="S5" s="35"/>
      <c r="T5" s="37">
        <v>8</v>
      </c>
      <c r="U5" s="15"/>
      <c r="V5" s="37">
        <v>7.5</v>
      </c>
      <c r="W5" s="35"/>
      <c r="X5" s="37"/>
      <c r="Y5" s="35"/>
      <c r="Z5" s="15">
        <v>10.5</v>
      </c>
      <c r="AA5" s="35"/>
      <c r="AB5" s="15">
        <v>13</v>
      </c>
      <c r="AC5" s="35"/>
      <c r="AD5" s="15">
        <v>12</v>
      </c>
      <c r="AE5" s="35"/>
      <c r="AF5" s="15">
        <v>21</v>
      </c>
      <c r="AG5" s="35"/>
      <c r="AH5" s="15"/>
      <c r="AI5" s="35"/>
      <c r="AJ5" s="15"/>
      <c r="AK5" s="35"/>
      <c r="AL5" s="15">
        <v>11.6</v>
      </c>
      <c r="AM5" s="35"/>
      <c r="AN5" s="15">
        <v>4.5</v>
      </c>
      <c r="AO5" s="35"/>
      <c r="AP5" s="15"/>
      <c r="AQ5" s="35"/>
      <c r="AR5" s="15"/>
      <c r="AS5" s="35"/>
      <c r="AT5" s="15"/>
      <c r="AU5" s="35"/>
      <c r="AV5" s="37"/>
      <c r="AW5" s="15"/>
      <c r="AX5" s="37"/>
      <c r="AY5" s="35"/>
      <c r="AZ5" s="37"/>
      <c r="BA5" s="35"/>
      <c r="BB5" s="37"/>
      <c r="BC5" s="35"/>
      <c r="BD5" s="37"/>
      <c r="BE5" s="35"/>
      <c r="BF5" s="62"/>
      <c r="BG5" s="35"/>
      <c r="BH5" s="37"/>
      <c r="BI5" s="35"/>
      <c r="BJ5" s="37"/>
      <c r="BK5" s="7"/>
      <c r="BL5" s="36" t="s">
        <v>6</v>
      </c>
    </row>
    <row r="6" s="1" customFormat="1" spans="1:64">
      <c r="A6" s="35"/>
      <c r="B6" s="66" t="s">
        <v>81</v>
      </c>
      <c r="C6" s="35"/>
      <c r="D6" s="15"/>
      <c r="E6" s="35"/>
      <c r="F6" s="15"/>
      <c r="G6" s="35"/>
      <c r="H6" s="15"/>
      <c r="I6" s="35"/>
      <c r="J6" s="37"/>
      <c r="K6" s="35"/>
      <c r="L6" s="37"/>
      <c r="M6" s="35"/>
      <c r="N6" s="37"/>
      <c r="O6" s="35"/>
      <c r="P6" s="37"/>
      <c r="Q6" s="35"/>
      <c r="R6" s="37"/>
      <c r="S6" s="35"/>
      <c r="T6" s="37"/>
      <c r="U6" s="15"/>
      <c r="V6" s="37"/>
      <c r="W6" s="35"/>
      <c r="X6" s="37"/>
      <c r="Y6" s="35"/>
      <c r="Z6" s="15"/>
      <c r="AA6" s="35"/>
      <c r="AB6" s="15"/>
      <c r="AC6" s="35" t="s">
        <v>109</v>
      </c>
      <c r="AD6" s="15">
        <v>9.4</v>
      </c>
      <c r="AE6" s="35"/>
      <c r="AF6" s="15"/>
      <c r="AG6" s="35"/>
      <c r="AH6" s="15"/>
      <c r="AI6" s="35"/>
      <c r="AJ6" s="15"/>
      <c r="AK6" s="35"/>
      <c r="AL6" s="15"/>
      <c r="AM6" s="35"/>
      <c r="AN6" s="15"/>
      <c r="AO6" s="35"/>
      <c r="AP6" s="15"/>
      <c r="AQ6" s="35"/>
      <c r="AR6" s="15"/>
      <c r="AS6" s="35"/>
      <c r="AT6" s="15"/>
      <c r="AU6" s="35"/>
      <c r="AV6" s="37"/>
      <c r="AW6" s="15"/>
      <c r="AX6" s="37"/>
      <c r="AY6" s="35"/>
      <c r="AZ6" s="37"/>
      <c r="BA6" s="35"/>
      <c r="BB6" s="37"/>
      <c r="BC6" s="35"/>
      <c r="BD6" s="37"/>
      <c r="BE6" s="35"/>
      <c r="BF6" s="62"/>
      <c r="BG6" s="35"/>
      <c r="BH6" s="37"/>
      <c r="BI6" s="35"/>
      <c r="BJ6" s="37"/>
      <c r="BK6" s="7"/>
      <c r="BL6" s="66" t="s">
        <v>81</v>
      </c>
    </row>
    <row r="7" s="1" customFormat="1" spans="1:64">
      <c r="A7" s="35"/>
      <c r="B7" s="39" t="s">
        <v>78</v>
      </c>
      <c r="C7" s="38" t="s">
        <v>78</v>
      </c>
      <c r="D7" s="40">
        <v>55</v>
      </c>
      <c r="E7" s="38"/>
      <c r="F7" s="40"/>
      <c r="G7" s="38"/>
      <c r="H7" s="40"/>
      <c r="I7" s="38" t="s">
        <v>78</v>
      </c>
      <c r="J7" s="53">
        <v>22</v>
      </c>
      <c r="K7" s="38" t="s">
        <v>78</v>
      </c>
      <c r="L7" s="53">
        <v>30.2</v>
      </c>
      <c r="M7" s="38" t="s">
        <v>78</v>
      </c>
      <c r="N7" s="53">
        <v>17</v>
      </c>
      <c r="O7" s="38"/>
      <c r="P7" s="53"/>
      <c r="Q7" s="38"/>
      <c r="R7" s="53"/>
      <c r="S7" s="38"/>
      <c r="T7" s="53">
        <v>29.5</v>
      </c>
      <c r="U7" s="40"/>
      <c r="V7" s="53"/>
      <c r="W7" s="38" t="s">
        <v>78</v>
      </c>
      <c r="X7" s="53">
        <v>27.5</v>
      </c>
      <c r="Y7" s="38" t="s">
        <v>78</v>
      </c>
      <c r="Z7" s="40">
        <v>16.5</v>
      </c>
      <c r="AA7" s="38"/>
      <c r="AB7" s="40"/>
      <c r="AC7" s="38" t="s">
        <v>78</v>
      </c>
      <c r="AD7" s="40">
        <v>26.5</v>
      </c>
      <c r="AE7" s="38"/>
      <c r="AF7" s="40"/>
      <c r="AG7" s="38"/>
      <c r="AH7" s="40"/>
      <c r="AI7" s="38"/>
      <c r="AJ7" s="40"/>
      <c r="AK7" s="38"/>
      <c r="AL7" s="40">
        <v>30</v>
      </c>
      <c r="AM7" s="38"/>
      <c r="AN7" s="40"/>
      <c r="AO7" s="38"/>
      <c r="AP7" s="40"/>
      <c r="AQ7" s="38"/>
      <c r="AR7" s="40"/>
      <c r="AS7" s="38"/>
      <c r="AT7" s="40"/>
      <c r="AU7" s="38"/>
      <c r="AV7" s="53"/>
      <c r="AW7" s="40"/>
      <c r="AX7" s="53"/>
      <c r="AY7" s="38"/>
      <c r="AZ7" s="53"/>
      <c r="BA7" s="38"/>
      <c r="BB7" s="53"/>
      <c r="BC7" s="38"/>
      <c r="BD7" s="53"/>
      <c r="BE7" s="38"/>
      <c r="BF7" s="63"/>
      <c r="BG7" s="38"/>
      <c r="BH7" s="53"/>
      <c r="BI7" s="38"/>
      <c r="BJ7" s="53"/>
      <c r="BK7" s="7"/>
      <c r="BL7" s="39" t="s">
        <v>78</v>
      </c>
    </row>
    <row r="8" s="1" customFormat="1" spans="1:64">
      <c r="A8" s="35"/>
      <c r="B8" s="42" t="s">
        <v>12</v>
      </c>
      <c r="C8" s="35"/>
      <c r="D8" s="37"/>
      <c r="E8" s="51"/>
      <c r="F8" s="51"/>
      <c r="G8" s="41"/>
      <c r="H8" s="52"/>
      <c r="I8" s="51"/>
      <c r="J8" s="52"/>
      <c r="K8" s="51"/>
      <c r="L8" s="52"/>
      <c r="M8" s="51"/>
      <c r="N8" s="37">
        <v>18.2</v>
      </c>
      <c r="O8" s="51"/>
      <c r="P8" s="52"/>
      <c r="Q8" s="51"/>
      <c r="R8" s="52"/>
      <c r="S8" s="51"/>
      <c r="T8" s="37"/>
      <c r="U8" s="51"/>
      <c r="V8" s="52"/>
      <c r="W8" s="41"/>
      <c r="X8" s="52"/>
      <c r="Y8" s="41"/>
      <c r="Z8" s="51"/>
      <c r="AA8" s="41"/>
      <c r="AB8" s="51">
        <v>45</v>
      </c>
      <c r="AC8" s="41"/>
      <c r="AD8" s="51">
        <v>14.63</v>
      </c>
      <c r="AE8" s="41"/>
      <c r="AF8" s="51"/>
      <c r="AG8" s="41"/>
      <c r="AH8" s="51"/>
      <c r="AI8" s="41"/>
      <c r="AJ8" s="51"/>
      <c r="AK8" s="41"/>
      <c r="AL8" s="51"/>
      <c r="AM8" s="41"/>
      <c r="AN8" s="51"/>
      <c r="AO8" s="41"/>
      <c r="AP8" s="51"/>
      <c r="AQ8" s="41"/>
      <c r="AR8" s="51"/>
      <c r="AS8" s="41"/>
      <c r="AT8" s="51"/>
      <c r="AU8" s="41"/>
      <c r="AV8" s="52"/>
      <c r="AW8" s="51"/>
      <c r="AX8" s="52"/>
      <c r="AY8" s="41"/>
      <c r="AZ8" s="52"/>
      <c r="BA8" s="41"/>
      <c r="BB8" s="52"/>
      <c r="BC8" s="41"/>
      <c r="BD8" s="52"/>
      <c r="BE8" s="41"/>
      <c r="BF8" s="52"/>
      <c r="BG8" s="41"/>
      <c r="BH8" s="52"/>
      <c r="BI8" s="41"/>
      <c r="BJ8" s="52"/>
      <c r="BK8" s="7">
        <f>SUM(C8:BJ8)</f>
        <v>77.83</v>
      </c>
      <c r="BL8" s="42" t="s">
        <v>12</v>
      </c>
    </row>
    <row r="9" s="1" customFormat="1" spans="1:64">
      <c r="A9" s="35"/>
      <c r="B9" s="42" t="s">
        <v>13</v>
      </c>
      <c r="C9" s="35"/>
      <c r="D9" s="37"/>
      <c r="E9" s="15"/>
      <c r="F9" s="15"/>
      <c r="G9" s="35"/>
      <c r="H9" s="37"/>
      <c r="I9" s="15"/>
      <c r="J9" s="37"/>
      <c r="K9" s="15"/>
      <c r="L9" s="37"/>
      <c r="M9" s="15"/>
      <c r="N9" s="37"/>
      <c r="O9" s="15"/>
      <c r="P9" s="37"/>
      <c r="Q9" s="15"/>
      <c r="R9" s="37"/>
      <c r="S9" s="54"/>
      <c r="T9" s="37"/>
      <c r="U9" s="15"/>
      <c r="V9" s="37"/>
      <c r="W9" s="35"/>
      <c r="X9" s="37"/>
      <c r="Y9" s="35"/>
      <c r="Z9" s="15"/>
      <c r="AA9" s="35"/>
      <c r="AB9" s="15"/>
      <c r="AC9" s="35"/>
      <c r="AD9" s="15"/>
      <c r="AE9" s="35"/>
      <c r="AF9" s="15"/>
      <c r="AG9" s="35"/>
      <c r="AH9" s="15"/>
      <c r="AI9" s="35"/>
      <c r="AJ9" s="15"/>
      <c r="AK9" s="35"/>
      <c r="AL9" s="15"/>
      <c r="AM9" s="35"/>
      <c r="AN9" s="15"/>
      <c r="AO9" s="35"/>
      <c r="AP9" s="15"/>
      <c r="AQ9" s="35"/>
      <c r="AR9" s="15"/>
      <c r="AS9" s="35"/>
      <c r="AT9" s="15"/>
      <c r="AU9" s="35"/>
      <c r="AV9" s="37"/>
      <c r="AW9" s="15"/>
      <c r="AX9" s="37"/>
      <c r="AY9" s="35"/>
      <c r="AZ9" s="37"/>
      <c r="BA9" s="35"/>
      <c r="BB9" s="37"/>
      <c r="BC9" s="35"/>
      <c r="BD9" s="37"/>
      <c r="BE9" s="35"/>
      <c r="BF9" s="37"/>
      <c r="BG9" s="35"/>
      <c r="BH9" s="37"/>
      <c r="BI9" s="35"/>
      <c r="BJ9" s="37"/>
      <c r="BK9" s="7">
        <f>SUM(C9:BJ9)</f>
        <v>0</v>
      </c>
      <c r="BL9" s="42" t="s">
        <v>13</v>
      </c>
    </row>
    <row r="10" s="1" customFormat="1" spans="1:64">
      <c r="A10" s="35"/>
      <c r="B10" s="42" t="s">
        <v>56</v>
      </c>
      <c r="C10" s="35"/>
      <c r="D10" s="37"/>
      <c r="E10" s="15"/>
      <c r="F10" s="15"/>
      <c r="G10" s="35"/>
      <c r="H10" s="37"/>
      <c r="I10" s="15"/>
      <c r="J10" s="37">
        <v>200</v>
      </c>
      <c r="K10" s="15"/>
      <c r="L10" s="37"/>
      <c r="M10" s="15"/>
      <c r="N10" s="37"/>
      <c r="O10" s="15"/>
      <c r="P10" s="37"/>
      <c r="Q10" s="15"/>
      <c r="R10" s="37"/>
      <c r="S10" s="54"/>
      <c r="T10" s="37"/>
      <c r="U10" s="15"/>
      <c r="V10" s="37"/>
      <c r="W10" s="35"/>
      <c r="X10" s="37"/>
      <c r="Y10" s="35"/>
      <c r="Z10" s="15">
        <v>-100</v>
      </c>
      <c r="AA10" s="35"/>
      <c r="AB10" s="15">
        <v>-100</v>
      </c>
      <c r="AC10" s="35"/>
      <c r="AD10" s="15"/>
      <c r="AE10" s="35"/>
      <c r="AF10" s="15"/>
      <c r="AG10" s="35"/>
      <c r="AH10" s="15"/>
      <c r="AI10" s="35"/>
      <c r="AJ10" s="15"/>
      <c r="AK10" s="35"/>
      <c r="AL10" s="15"/>
      <c r="AM10" s="35"/>
      <c r="AN10" s="15"/>
      <c r="AO10" s="35"/>
      <c r="AP10" s="15"/>
      <c r="AQ10" s="35"/>
      <c r="AR10" s="15"/>
      <c r="AS10" s="35"/>
      <c r="AT10" s="15"/>
      <c r="AU10" s="35"/>
      <c r="AV10" s="37"/>
      <c r="AW10" s="15"/>
      <c r="AX10" s="37"/>
      <c r="AY10" s="35"/>
      <c r="AZ10" s="37"/>
      <c r="BA10" s="35"/>
      <c r="BB10" s="37"/>
      <c r="BC10" s="35"/>
      <c r="BD10" s="37"/>
      <c r="BE10" s="35"/>
      <c r="BF10" s="37"/>
      <c r="BG10" s="35"/>
      <c r="BH10" s="37"/>
      <c r="BI10" s="35"/>
      <c r="BJ10" s="37"/>
      <c r="BK10" s="7">
        <f>SUM(C10:BJ10)</f>
        <v>0</v>
      </c>
      <c r="BL10" s="42" t="s">
        <v>56</v>
      </c>
    </row>
    <row r="11" s="1" customFormat="1" spans="1:64">
      <c r="A11" s="35"/>
      <c r="B11" s="44" t="s">
        <v>18</v>
      </c>
      <c r="C11" s="35"/>
      <c r="D11" s="37"/>
      <c r="E11" s="15"/>
      <c r="F11" s="15"/>
      <c r="G11" s="35"/>
      <c r="H11" s="37"/>
      <c r="I11" s="15"/>
      <c r="J11" s="37"/>
      <c r="K11" s="15"/>
      <c r="L11" s="37"/>
      <c r="M11" s="15" t="s">
        <v>110</v>
      </c>
      <c r="N11" s="37">
        <v>12</v>
      </c>
      <c r="O11" s="15"/>
      <c r="P11" s="37"/>
      <c r="Q11" s="15"/>
      <c r="R11" s="37"/>
      <c r="S11" s="35"/>
      <c r="T11" s="37"/>
      <c r="U11" s="15"/>
      <c r="V11" s="37"/>
      <c r="W11" s="35"/>
      <c r="X11" s="37"/>
      <c r="Y11" s="35"/>
      <c r="Z11" s="15"/>
      <c r="AA11" s="35" t="s">
        <v>111</v>
      </c>
      <c r="AB11" s="15">
        <v>5</v>
      </c>
      <c r="AC11" s="35"/>
      <c r="AD11" s="15"/>
      <c r="AE11" s="35"/>
      <c r="AF11" s="15"/>
      <c r="AG11" s="35"/>
      <c r="AH11" s="15"/>
      <c r="AI11" s="35"/>
      <c r="AJ11" s="15"/>
      <c r="AK11" s="35"/>
      <c r="AL11" s="15"/>
      <c r="AM11" s="35"/>
      <c r="AN11" s="15"/>
      <c r="AO11" s="35"/>
      <c r="AP11" s="15"/>
      <c r="AQ11" s="35"/>
      <c r="AR11" s="15"/>
      <c r="AS11" s="35"/>
      <c r="AT11" s="15"/>
      <c r="AU11" s="35"/>
      <c r="AV11" s="37"/>
      <c r="AW11" s="15"/>
      <c r="AX11" s="37"/>
      <c r="AY11" s="35"/>
      <c r="AZ11" s="37"/>
      <c r="BA11" s="35"/>
      <c r="BB11" s="37"/>
      <c r="BC11" s="35"/>
      <c r="BD11" s="37"/>
      <c r="BE11" s="35"/>
      <c r="BF11" s="37"/>
      <c r="BG11" s="35"/>
      <c r="BH11" s="37"/>
      <c r="BI11" s="35"/>
      <c r="BJ11" s="37"/>
      <c r="BK11" s="7">
        <f t="shared" ref="BK11:BK24" si="0">SUM(C11:BJ11)</f>
        <v>17</v>
      </c>
      <c r="BL11" s="44" t="s">
        <v>18</v>
      </c>
    </row>
    <row r="12" s="1" customFormat="1" spans="1:64">
      <c r="A12" s="35"/>
      <c r="B12" s="45" t="s">
        <v>20</v>
      </c>
      <c r="C12" s="35"/>
      <c r="D12" s="37"/>
      <c r="E12" s="15"/>
      <c r="F12" s="15"/>
      <c r="G12" s="35"/>
      <c r="H12" s="37"/>
      <c r="I12" s="15"/>
      <c r="J12" s="15"/>
      <c r="K12" s="35"/>
      <c r="L12" s="37"/>
      <c r="M12" s="35"/>
      <c r="N12" s="37"/>
      <c r="O12" s="35"/>
      <c r="P12" s="37"/>
      <c r="Q12" s="35"/>
      <c r="R12" s="37"/>
      <c r="S12" s="35"/>
      <c r="T12" s="37"/>
      <c r="U12" s="15"/>
      <c r="V12" s="37"/>
      <c r="W12" s="35"/>
      <c r="X12" s="37"/>
      <c r="Y12" s="35"/>
      <c r="Z12" s="15"/>
      <c r="AA12" s="35"/>
      <c r="AB12" s="15"/>
      <c r="AC12" s="35" t="s">
        <v>112</v>
      </c>
      <c r="AD12" s="15">
        <v>4.8</v>
      </c>
      <c r="AE12" s="35" t="s">
        <v>113</v>
      </c>
      <c r="AF12" s="15">
        <v>6</v>
      </c>
      <c r="AG12" s="35"/>
      <c r="AH12" s="15"/>
      <c r="AI12" s="35"/>
      <c r="AJ12" s="15"/>
      <c r="AK12" s="35"/>
      <c r="AL12" s="15"/>
      <c r="AM12" s="35"/>
      <c r="AN12" s="15"/>
      <c r="AO12" s="35"/>
      <c r="AP12" s="15"/>
      <c r="AQ12" s="35"/>
      <c r="AR12" s="15"/>
      <c r="AS12" s="35"/>
      <c r="AT12" s="15"/>
      <c r="AU12" s="35"/>
      <c r="AV12" s="37"/>
      <c r="AW12" s="15"/>
      <c r="AX12" s="37"/>
      <c r="AY12" s="35"/>
      <c r="AZ12" s="37"/>
      <c r="BA12" s="35"/>
      <c r="BB12" s="37"/>
      <c r="BC12" s="35"/>
      <c r="BD12" s="37"/>
      <c r="BE12" s="35"/>
      <c r="BF12" s="37"/>
      <c r="BG12" s="35"/>
      <c r="BH12" s="37"/>
      <c r="BI12" s="35"/>
      <c r="BJ12" s="37"/>
      <c r="BK12" s="7">
        <f t="shared" si="0"/>
        <v>10.8</v>
      </c>
      <c r="BL12" s="45" t="s">
        <v>20</v>
      </c>
    </row>
    <row r="13" s="1" customFormat="1" spans="1:64">
      <c r="A13" s="35"/>
      <c r="B13" s="45" t="s">
        <v>22</v>
      </c>
      <c r="C13" s="35"/>
      <c r="D13" s="15"/>
      <c r="E13" s="35"/>
      <c r="F13" s="37"/>
      <c r="G13" s="35"/>
      <c r="H13" s="37"/>
      <c r="I13" s="35"/>
      <c r="J13" s="37"/>
      <c r="K13" s="35"/>
      <c r="L13" s="37"/>
      <c r="M13" s="35"/>
      <c r="N13" s="37"/>
      <c r="O13" s="35"/>
      <c r="P13" s="37"/>
      <c r="Q13" s="35"/>
      <c r="R13" s="37"/>
      <c r="S13" s="35"/>
      <c r="T13" s="37"/>
      <c r="U13" s="15"/>
      <c r="V13" s="37"/>
      <c r="W13" s="35"/>
      <c r="X13" s="37"/>
      <c r="Y13" s="35"/>
      <c r="Z13" s="15"/>
      <c r="AA13" s="35"/>
      <c r="AB13" s="15"/>
      <c r="AC13" s="35"/>
      <c r="AD13" s="15"/>
      <c r="AE13" s="35"/>
      <c r="AF13" s="15"/>
      <c r="AG13" s="35"/>
      <c r="AH13" s="15"/>
      <c r="AI13" s="35"/>
      <c r="AJ13" s="15"/>
      <c r="AK13" s="35"/>
      <c r="AL13" s="15"/>
      <c r="AM13" s="35"/>
      <c r="AN13" s="15"/>
      <c r="AO13" s="35"/>
      <c r="AP13" s="15"/>
      <c r="AQ13" s="35"/>
      <c r="AR13" s="15"/>
      <c r="AS13" s="35"/>
      <c r="AT13" s="15"/>
      <c r="AU13" s="35"/>
      <c r="AV13" s="37"/>
      <c r="AW13" s="15"/>
      <c r="AX13" s="37"/>
      <c r="AY13" s="35"/>
      <c r="AZ13" s="37"/>
      <c r="BA13" s="35"/>
      <c r="BB13" s="37"/>
      <c r="BC13" s="35"/>
      <c r="BD13" s="37"/>
      <c r="BE13" s="35"/>
      <c r="BF13" s="37"/>
      <c r="BG13" s="35"/>
      <c r="BH13" s="37"/>
      <c r="BI13" s="35"/>
      <c r="BJ13" s="37"/>
      <c r="BK13" s="7">
        <f t="shared" si="0"/>
        <v>0</v>
      </c>
      <c r="BL13" s="45" t="s">
        <v>22</v>
      </c>
    </row>
    <row r="14" s="1" customFormat="1" spans="1:64">
      <c r="A14" s="35"/>
      <c r="B14" s="45" t="s">
        <v>25</v>
      </c>
      <c r="C14" s="35"/>
      <c r="D14" s="15"/>
      <c r="E14" s="35"/>
      <c r="F14" s="37"/>
      <c r="G14" s="35"/>
      <c r="H14" s="37"/>
      <c r="I14" s="35"/>
      <c r="J14" s="37"/>
      <c r="K14" s="35"/>
      <c r="L14" s="37"/>
      <c r="M14" s="35"/>
      <c r="N14" s="37"/>
      <c r="O14" s="35"/>
      <c r="P14" s="37"/>
      <c r="Q14" s="35"/>
      <c r="R14" s="37"/>
      <c r="S14" s="35"/>
      <c r="T14" s="37"/>
      <c r="U14" s="15"/>
      <c r="V14" s="37"/>
      <c r="W14" s="35"/>
      <c r="X14" s="37"/>
      <c r="Y14" s="35"/>
      <c r="Z14" s="15"/>
      <c r="AA14" s="35"/>
      <c r="AB14" s="15"/>
      <c r="AC14" s="35" t="s">
        <v>66</v>
      </c>
      <c r="AD14" s="15">
        <v>700</v>
      </c>
      <c r="AE14" s="35"/>
      <c r="AF14" s="15"/>
      <c r="AG14" s="35"/>
      <c r="AH14" s="15"/>
      <c r="AI14" s="35"/>
      <c r="AJ14" s="15"/>
      <c r="AK14" s="35"/>
      <c r="AL14" s="15"/>
      <c r="AM14" s="35"/>
      <c r="AN14" s="15"/>
      <c r="AO14" s="35"/>
      <c r="AP14" s="15"/>
      <c r="AQ14" s="35"/>
      <c r="AR14" s="15"/>
      <c r="AS14" s="35"/>
      <c r="AT14" s="15"/>
      <c r="AU14" s="35"/>
      <c r="AV14" s="37"/>
      <c r="AW14" s="15"/>
      <c r="AX14" s="37"/>
      <c r="AY14" s="35"/>
      <c r="AZ14" s="37"/>
      <c r="BA14" s="35"/>
      <c r="BB14" s="37"/>
      <c r="BC14" s="35"/>
      <c r="BD14" s="37"/>
      <c r="BE14" s="35"/>
      <c r="BF14" s="37"/>
      <c r="BG14" s="35"/>
      <c r="BH14" s="37"/>
      <c r="BI14" s="35"/>
      <c r="BJ14" s="37"/>
      <c r="BK14" s="7">
        <f t="shared" si="0"/>
        <v>700</v>
      </c>
      <c r="BL14" s="45" t="s">
        <v>25</v>
      </c>
    </row>
    <row r="15" s="1" customFormat="1" spans="1:64">
      <c r="A15" s="35"/>
      <c r="B15" s="46" t="s">
        <v>27</v>
      </c>
      <c r="C15" s="5"/>
      <c r="D15" s="10"/>
      <c r="E15" s="5"/>
      <c r="F15" s="10"/>
      <c r="G15" s="5" t="s">
        <v>114</v>
      </c>
      <c r="H15" s="10">
        <v>15</v>
      </c>
      <c r="I15" s="5"/>
      <c r="J15" s="10"/>
      <c r="K15" s="5"/>
      <c r="L15" s="10"/>
      <c r="M15" s="5" t="s">
        <v>28</v>
      </c>
      <c r="N15" s="10">
        <v>14</v>
      </c>
      <c r="O15" s="5" t="s">
        <v>115</v>
      </c>
      <c r="P15" s="10">
        <v>90</v>
      </c>
      <c r="Q15" s="5"/>
      <c r="R15" s="10"/>
      <c r="S15" s="5"/>
      <c r="T15" s="10"/>
      <c r="U15" s="5" t="s">
        <v>28</v>
      </c>
      <c r="V15" s="10">
        <v>8</v>
      </c>
      <c r="W15" s="5"/>
      <c r="X15" s="10"/>
      <c r="Y15" s="5"/>
      <c r="Z15" s="10"/>
      <c r="AA15" s="5" t="s">
        <v>116</v>
      </c>
      <c r="AB15" s="10">
        <v>24</v>
      </c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7">
        <f t="shared" si="0"/>
        <v>151</v>
      </c>
      <c r="BL15" s="46" t="s">
        <v>27</v>
      </c>
    </row>
    <row r="16" s="1" customFormat="1" spans="1:64">
      <c r="A16" s="35"/>
      <c r="B16" s="46" t="s">
        <v>30</v>
      </c>
      <c r="C16" s="5"/>
      <c r="D16" s="10"/>
      <c r="E16" s="5" t="s">
        <v>117</v>
      </c>
      <c r="F16" s="10">
        <v>17.5</v>
      </c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/>
      <c r="BJ16" s="10"/>
      <c r="BK16" s="7">
        <f t="shared" si="0"/>
        <v>17.5</v>
      </c>
      <c r="BL16" s="46" t="s">
        <v>30</v>
      </c>
    </row>
    <row r="17" s="1" customFormat="1" spans="1:64">
      <c r="A17" s="35"/>
      <c r="B17" s="46" t="s">
        <v>33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10"/>
      <c r="BJ17" s="10"/>
      <c r="BK17" s="7">
        <f t="shared" si="0"/>
        <v>0</v>
      </c>
      <c r="BL17" s="46" t="s">
        <v>33</v>
      </c>
    </row>
    <row r="18" s="1" customFormat="1" spans="1:64">
      <c r="A18" s="35"/>
      <c r="B18" s="46" t="s">
        <v>36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7">
        <f t="shared" si="0"/>
        <v>0</v>
      </c>
      <c r="BL18" s="46" t="s">
        <v>36</v>
      </c>
    </row>
    <row r="19" s="1" customFormat="1" spans="1:64">
      <c r="A19" s="35"/>
      <c r="B19" s="10" t="s">
        <v>38</v>
      </c>
      <c r="C19" s="5"/>
      <c r="D19" s="10"/>
      <c r="E19" s="5"/>
      <c r="F19" s="10"/>
      <c r="G19" s="5"/>
      <c r="H19" s="10"/>
      <c r="I19" s="5"/>
      <c r="J19" s="10"/>
      <c r="K19" s="5"/>
      <c r="L19" s="10"/>
      <c r="M19" s="5" t="s">
        <v>118</v>
      </c>
      <c r="N19" s="10">
        <v>60</v>
      </c>
      <c r="O19" s="5"/>
      <c r="P19" s="10"/>
      <c r="Q19" s="5"/>
      <c r="R19" s="10"/>
      <c r="S19" s="5"/>
      <c r="T19" s="10"/>
      <c r="U19" s="5"/>
      <c r="V19" s="10"/>
      <c r="W19" s="5"/>
      <c r="X19" s="10"/>
      <c r="Y19" s="5"/>
      <c r="Z19" s="10"/>
      <c r="AA19" s="5"/>
      <c r="AB19" s="10"/>
      <c r="AC19" s="5"/>
      <c r="AD19" s="10"/>
      <c r="AE19" s="5"/>
      <c r="AF19" s="10"/>
      <c r="AG19" s="5"/>
      <c r="AH19" s="10"/>
      <c r="AI19" s="5"/>
      <c r="AJ19" s="10"/>
      <c r="AK19" s="5"/>
      <c r="AL19" s="10"/>
      <c r="AM19" s="5"/>
      <c r="AN19" s="10"/>
      <c r="AO19" s="5"/>
      <c r="AP19" s="10"/>
      <c r="AQ19" s="5"/>
      <c r="AR19" s="10"/>
      <c r="AS19" s="5"/>
      <c r="AT19" s="10"/>
      <c r="AU19" s="5"/>
      <c r="AV19" s="10"/>
      <c r="AW19" s="5"/>
      <c r="AX19" s="10"/>
      <c r="AY19" s="5"/>
      <c r="AZ19" s="10"/>
      <c r="BA19" s="5"/>
      <c r="BB19" s="10"/>
      <c r="BC19" s="5"/>
      <c r="BD19" s="10"/>
      <c r="BE19" s="5"/>
      <c r="BF19" s="10"/>
      <c r="BG19" s="5"/>
      <c r="BH19" s="10"/>
      <c r="BI19" s="5"/>
      <c r="BJ19" s="10"/>
      <c r="BK19" s="7">
        <f t="shared" si="0"/>
        <v>60</v>
      </c>
      <c r="BL19" s="10" t="s">
        <v>38</v>
      </c>
    </row>
    <row r="20" s="1" customFormat="1" spans="1:64">
      <c r="A20" s="38"/>
      <c r="B20" s="12" t="s">
        <v>40</v>
      </c>
      <c r="C20" s="10">
        <f>SUM(C3:D19)</f>
        <v>77</v>
      </c>
      <c r="D20" s="8"/>
      <c r="E20" s="10">
        <f>SUM(E3:F19)</f>
        <v>46</v>
      </c>
      <c r="F20" s="8"/>
      <c r="G20" s="10">
        <f>SUM(G3:H19)</f>
        <v>41.4</v>
      </c>
      <c r="H20" s="8"/>
      <c r="I20" s="10">
        <f>SUM(I3:J19)</f>
        <v>243</v>
      </c>
      <c r="J20" s="8"/>
      <c r="K20" s="10">
        <f>SUM(K3:L19)</f>
        <v>59.4</v>
      </c>
      <c r="L20" s="8"/>
      <c r="M20" s="10">
        <f>SUM(M3:N19)</f>
        <v>150.5</v>
      </c>
      <c r="N20" s="8"/>
      <c r="O20" s="10">
        <f>SUM(O3:P19)</f>
        <v>99</v>
      </c>
      <c r="P20" s="8"/>
      <c r="Q20" s="10">
        <f>SUM(Q3:R19)</f>
        <v>25.4</v>
      </c>
      <c r="R20" s="8"/>
      <c r="S20" s="10">
        <f>SUM(S3:T19)</f>
        <v>45</v>
      </c>
      <c r="T20" s="8"/>
      <c r="U20" s="10">
        <f>SUM(U3:V19)</f>
        <v>27</v>
      </c>
      <c r="V20" s="8"/>
      <c r="W20" s="10">
        <f>SUM(W3:X19)</f>
        <v>40</v>
      </c>
      <c r="X20" s="8"/>
      <c r="Y20" s="10">
        <f>SUM(Y3:Z19)</f>
        <v>-53.3</v>
      </c>
      <c r="Z20" s="8"/>
      <c r="AA20" s="10">
        <f>SUM(AA3:AB19)</f>
        <v>-2.5</v>
      </c>
      <c r="AB20" s="8"/>
      <c r="AC20" s="10">
        <f>SUM(AC3:AD19)</f>
        <v>779.83</v>
      </c>
      <c r="AD20" s="8"/>
      <c r="AE20" s="10">
        <f>SUM(AE3:AF19)</f>
        <v>39</v>
      </c>
      <c r="AF20" s="8"/>
      <c r="AG20" s="10">
        <f>SUM(AG3:AH19)</f>
        <v>13.6</v>
      </c>
      <c r="AH20" s="8"/>
      <c r="AI20" s="10">
        <f>SUM(AI3:AJ19)</f>
        <v>13</v>
      </c>
      <c r="AJ20" s="8"/>
      <c r="AK20" s="10">
        <f>SUM(AK3:AL19)</f>
        <v>62.6</v>
      </c>
      <c r="AL20" s="8"/>
      <c r="AM20" s="10">
        <f>SUM(AM3:AN19)</f>
        <v>14.5</v>
      </c>
      <c r="AN20" s="8"/>
      <c r="AO20" s="10">
        <f>SUM(AO3:AP19)</f>
        <v>0</v>
      </c>
      <c r="AP20" s="8"/>
      <c r="AQ20" s="10">
        <f>SUM(AQ3:AR19)</f>
        <v>0</v>
      </c>
      <c r="AR20" s="8"/>
      <c r="AS20" s="10">
        <f>SUM(AS3:AT19)</f>
        <v>0</v>
      </c>
      <c r="AT20" s="8"/>
      <c r="AU20" s="10">
        <f>SUM(AU3:AV19)</f>
        <v>0</v>
      </c>
      <c r="AV20" s="8"/>
      <c r="AW20" s="10">
        <f>SUM(AW3:AX19)</f>
        <v>0</v>
      </c>
      <c r="AX20" s="8"/>
      <c r="AY20" s="10">
        <f>SUM(AY3:AZ19)</f>
        <v>0</v>
      </c>
      <c r="AZ20" s="8"/>
      <c r="BA20" s="10">
        <f>SUM(BA3:BB19)</f>
        <v>0</v>
      </c>
      <c r="BB20" s="8"/>
      <c r="BC20" s="10">
        <f>SUM(BC3:BD19)</f>
        <v>0</v>
      </c>
      <c r="BD20" s="8"/>
      <c r="BE20" s="10">
        <f>SUM(BE3:BF19)</f>
        <v>0</v>
      </c>
      <c r="BF20" s="8"/>
      <c r="BG20" s="10">
        <f>SUM(BG3:BH19)</f>
        <v>0</v>
      </c>
      <c r="BH20" s="8"/>
      <c r="BI20" s="10">
        <f>SUM(BI3:BJ19)</f>
        <v>0</v>
      </c>
      <c r="BJ20" s="8"/>
      <c r="BK20" s="13">
        <f t="shared" si="0"/>
        <v>1720.43</v>
      </c>
      <c r="BL20" s="12" t="s">
        <v>40</v>
      </c>
    </row>
    <row r="21" s="30" customFormat="1" spans="1:64">
      <c r="A21" s="5" t="s">
        <v>41</v>
      </c>
      <c r="B21" s="67" t="s">
        <v>42</v>
      </c>
      <c r="C21" s="17"/>
      <c r="D21" s="47"/>
      <c r="E21" s="17"/>
      <c r="F21" s="47"/>
      <c r="G21" s="17"/>
      <c r="H21" s="47"/>
      <c r="I21" s="17"/>
      <c r="J21" s="47"/>
      <c r="K21" s="17"/>
      <c r="L21" s="47"/>
      <c r="M21" s="17"/>
      <c r="N21" s="47"/>
      <c r="O21" s="17"/>
      <c r="P21" s="47"/>
      <c r="Q21" s="17"/>
      <c r="R21" s="47"/>
      <c r="S21" s="17"/>
      <c r="T21" s="47"/>
      <c r="U21" s="17"/>
      <c r="V21" s="47"/>
      <c r="Y21" s="17"/>
      <c r="Z21" s="47"/>
      <c r="AA21" s="17"/>
      <c r="AB21" s="47"/>
      <c r="AI21" s="17"/>
      <c r="AJ21" s="47"/>
      <c r="AK21" s="17"/>
      <c r="AL21" s="47"/>
      <c r="AM21" s="17"/>
      <c r="AN21" s="47"/>
      <c r="AO21" s="17"/>
      <c r="AP21" s="47"/>
      <c r="AQ21" s="17"/>
      <c r="AR21" s="47"/>
      <c r="AS21" s="17"/>
      <c r="AT21" s="47"/>
      <c r="AU21" s="17"/>
      <c r="AV21" s="47"/>
      <c r="AW21" s="17"/>
      <c r="AX21" s="47"/>
      <c r="AY21" s="17"/>
      <c r="AZ21" s="47"/>
      <c r="BA21" s="17"/>
      <c r="BB21" s="47"/>
      <c r="BC21" s="17"/>
      <c r="BD21" s="47"/>
      <c r="BE21" s="17"/>
      <c r="BF21" s="47"/>
      <c r="BG21" s="17"/>
      <c r="BH21" s="47"/>
      <c r="BI21" s="47"/>
      <c r="BJ21" s="47"/>
      <c r="BK21" s="7">
        <f t="shared" si="0"/>
        <v>0</v>
      </c>
      <c r="BL21" s="67" t="s">
        <v>42</v>
      </c>
    </row>
    <row r="22" s="1" customFormat="1" spans="1:64">
      <c r="A22" s="5"/>
      <c r="B22" s="67" t="s">
        <v>43</v>
      </c>
      <c r="C22" s="48" t="s">
        <v>44</v>
      </c>
      <c r="D22" s="48">
        <v>200</v>
      </c>
      <c r="E22" s="48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48"/>
      <c r="T22" s="48"/>
      <c r="U22" s="48" t="s">
        <v>44</v>
      </c>
      <c r="V22" s="48">
        <v>80</v>
      </c>
      <c r="W22" s="55"/>
      <c r="X22" s="56"/>
      <c r="Y22" s="48"/>
      <c r="Z22" s="48"/>
      <c r="AA22" s="48"/>
      <c r="AB22" s="48"/>
      <c r="AC22" s="55"/>
      <c r="AD22" s="56"/>
      <c r="AE22" s="55"/>
      <c r="AF22" s="56"/>
      <c r="AG22" s="55"/>
      <c r="AH22" s="56"/>
      <c r="AI22" s="48"/>
      <c r="AJ22" s="48"/>
      <c r="AK22" s="48"/>
      <c r="AL22" s="48"/>
      <c r="AM22" s="48"/>
      <c r="AN22" s="48"/>
      <c r="AO22" s="48">
        <v>2600</v>
      </c>
      <c r="AP22" s="48"/>
      <c r="AQ22" s="48"/>
      <c r="AR22" s="48"/>
      <c r="AS22" s="48"/>
      <c r="AT22" s="48"/>
      <c r="AU22" s="48"/>
      <c r="AV22" s="48"/>
      <c r="AW22" s="48"/>
      <c r="AX22" s="48"/>
      <c r="AY22" s="48"/>
      <c r="AZ22" s="48"/>
      <c r="BA22" s="48"/>
      <c r="BB22" s="48"/>
      <c r="BC22" s="48"/>
      <c r="BD22" s="48"/>
      <c r="BE22" s="48"/>
      <c r="BF22" s="48"/>
      <c r="BG22" s="48"/>
      <c r="BH22" s="48"/>
      <c r="BI22" s="48"/>
      <c r="BJ22" s="48"/>
      <c r="BK22" s="13">
        <f t="shared" si="0"/>
        <v>2880</v>
      </c>
      <c r="BL22" s="67" t="s">
        <v>43</v>
      </c>
    </row>
    <row r="23" s="1" customFormat="1" spans="1:64">
      <c r="A23" s="5"/>
      <c r="B23" s="68" t="s">
        <v>119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7"/>
      <c r="AP23" s="57"/>
      <c r="AQ23" s="57"/>
      <c r="AR23" s="5"/>
      <c r="AS23" s="5"/>
      <c r="AT23" s="5"/>
      <c r="AU23" s="5"/>
      <c r="AV23" s="5"/>
      <c r="AW23" s="5"/>
      <c r="AX23" s="5"/>
      <c r="AY23" s="48"/>
      <c r="AZ23" s="48"/>
      <c r="BA23" s="5"/>
      <c r="BB23" s="5"/>
      <c r="BC23" s="5"/>
      <c r="BD23" s="59"/>
      <c r="BE23" s="59"/>
      <c r="BF23" s="59"/>
      <c r="BG23" s="59"/>
      <c r="BH23" s="59"/>
      <c r="BI23" s="59"/>
      <c r="BJ23" s="59"/>
      <c r="BK23" s="7">
        <f t="shared" si="0"/>
        <v>0</v>
      </c>
      <c r="BL23" s="68" t="s">
        <v>119</v>
      </c>
    </row>
    <row r="24" s="1" customFormat="1" spans="1:64">
      <c r="A24" s="5"/>
      <c r="B24" s="68" t="s">
        <v>120</v>
      </c>
      <c r="C24" s="16"/>
      <c r="D24" s="16"/>
      <c r="E24" s="16"/>
      <c r="F24" s="16"/>
      <c r="G24" s="16"/>
      <c r="H24" s="16"/>
      <c r="I24" s="16" t="s">
        <v>121</v>
      </c>
      <c r="J24" s="16">
        <v>550</v>
      </c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5"/>
      <c r="Y24" s="5"/>
      <c r="Z24" s="5"/>
      <c r="AA24" s="5"/>
      <c r="AB24" s="5"/>
      <c r="AC24" s="5"/>
      <c r="AD24" s="5"/>
      <c r="AE24" s="5"/>
      <c r="AF24" s="5"/>
      <c r="AG24" s="5" t="s">
        <v>122</v>
      </c>
      <c r="AH24" s="5">
        <v>10</v>
      </c>
      <c r="AI24" s="5"/>
      <c r="AJ24" s="5"/>
      <c r="AK24" s="5"/>
      <c r="AL24" s="5"/>
      <c r="AM24" s="5"/>
      <c r="AN24" s="5"/>
      <c r="AO24" s="57"/>
      <c r="AP24" s="57"/>
      <c r="AQ24" s="57"/>
      <c r="AR24" s="5"/>
      <c r="AS24" s="5"/>
      <c r="AT24" s="5"/>
      <c r="AU24" s="5"/>
      <c r="AV24" s="5"/>
      <c r="AW24" s="5"/>
      <c r="AX24" s="5"/>
      <c r="AY24" s="48"/>
      <c r="AZ24" s="48"/>
      <c r="BA24" s="5"/>
      <c r="BB24" s="5"/>
      <c r="BC24" s="5"/>
      <c r="BD24" s="59"/>
      <c r="BE24" s="59"/>
      <c r="BF24" s="59"/>
      <c r="BG24" s="59"/>
      <c r="BH24" s="59"/>
      <c r="BI24" s="59"/>
      <c r="BJ24" s="59"/>
      <c r="BK24" s="7">
        <f t="shared" si="0"/>
        <v>560</v>
      </c>
      <c r="BL24" s="68" t="s">
        <v>120</v>
      </c>
    </row>
    <row r="25" s="1" customFormat="1" ht="17.6" spans="1:64">
      <c r="A25" s="5"/>
      <c r="B25" s="20" t="s">
        <v>123</v>
      </c>
      <c r="C25" s="69"/>
      <c r="D25" s="16"/>
      <c r="E25" s="16"/>
      <c r="F25" s="16"/>
      <c r="G25" s="16"/>
      <c r="H25" s="16"/>
      <c r="I25" s="16"/>
      <c r="J25" s="57"/>
      <c r="K25" s="57"/>
      <c r="L25" s="57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9"/>
      <c r="BE25" s="59"/>
      <c r="BF25" s="59"/>
      <c r="BG25" s="59"/>
      <c r="BH25" s="59"/>
      <c r="BI25" s="59"/>
      <c r="BJ25" s="59"/>
      <c r="BK25" s="59"/>
      <c r="BL25" s="20" t="s">
        <v>123</v>
      </c>
    </row>
    <row r="26" s="1" customFormat="1" ht="17.6" spans="1:63">
      <c r="A26" s="15"/>
      <c r="B26"/>
      <c r="C26"/>
      <c r="D26" s="49"/>
      <c r="E26" s="30"/>
      <c r="F26" s="30"/>
      <c r="G26" s="30"/>
      <c r="H26" s="30"/>
      <c r="I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0"/>
      <c r="BE26" s="60"/>
      <c r="BF26" s="60"/>
      <c r="BG26" s="60"/>
      <c r="BH26" s="60"/>
      <c r="BI26" s="60"/>
      <c r="BJ26" s="60"/>
      <c r="BK26" s="60"/>
    </row>
    <row r="27" s="1" customFormat="1" spans="1:63">
      <c r="A27" s="15"/>
      <c r="B27" s="30"/>
      <c r="C27" s="30"/>
      <c r="D27" s="30"/>
      <c r="E27" s="30"/>
      <c r="F27" s="30"/>
      <c r="G27" s="30"/>
      <c r="H27" s="30"/>
      <c r="I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60"/>
      <c r="BE27" s="60"/>
      <c r="BF27" s="60"/>
      <c r="BG27" s="60"/>
      <c r="BH27" s="60"/>
      <c r="BI27" s="60"/>
      <c r="BJ27" s="60"/>
      <c r="BK27" s="60"/>
    </row>
    <row r="28" s="1" customFormat="1" spans="1:63">
      <c r="A28" s="15"/>
      <c r="B28" s="30"/>
      <c r="C28" s="30"/>
      <c r="D28" s="30"/>
      <c r="E28" s="30"/>
      <c r="F28" s="30"/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="1" customFormat="1" spans="1:63">
      <c r="A29" s="15"/>
      <c r="B29" s="30"/>
      <c r="C29" s="30"/>
      <c r="D29" s="15"/>
      <c r="E29" s="15"/>
      <c r="F29" s="15"/>
      <c r="G29" s="15"/>
      <c r="H29" s="1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="1" customFormat="1" spans="1:63">
      <c r="A30" s="15"/>
      <c r="B30" s="30"/>
      <c r="C30" s="30"/>
      <c r="D30" s="15"/>
      <c r="E30" s="15"/>
      <c r="F30" s="15"/>
      <c r="G30" s="15"/>
      <c r="H30" s="1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1" s="1" customFormat="1" spans="1:63">
      <c r="A31" s="15"/>
      <c r="B31" s="15"/>
      <c r="C31" s="15"/>
      <c r="D31" s="15"/>
      <c r="E31" s="15"/>
      <c r="F31" s="15"/>
      <c r="G31" s="15"/>
      <c r="H31" s="1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</row>
    <row r="32" s="1" customFormat="1" spans="1:63">
      <c r="A32" s="15"/>
      <c r="D32" s="15"/>
      <c r="E32" s="15"/>
      <c r="F32" s="15"/>
      <c r="G32" s="15"/>
      <c r="H32" s="15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0"/>
      <c r="W32" s="30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</row>
    <row r="33" s="1" customFormat="1" spans="1:64">
      <c r="A33" s="15"/>
      <c r="D33" s="15"/>
      <c r="E33" s="15"/>
      <c r="F33" s="15"/>
      <c r="G33" s="15"/>
      <c r="H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30"/>
    </row>
    <row r="34" s="1" customFormat="1" spans="1:64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30"/>
    </row>
    <row r="35" s="1" customFormat="1" spans="1:64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30"/>
    </row>
    <row r="36" s="1" customFormat="1" spans="1:64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30"/>
    </row>
    <row r="37" s="1" customFormat="1" spans="1:64">
      <c r="A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  <c r="AA37" s="15"/>
      <c r="AB37" s="15"/>
      <c r="AC37" s="15"/>
      <c r="AD37" s="15"/>
      <c r="AE37" s="15"/>
      <c r="AF37" s="15"/>
      <c r="AG37" s="15"/>
      <c r="AH37" s="15"/>
      <c r="AI37" s="15"/>
      <c r="AJ37" s="15"/>
      <c r="AK37" s="15"/>
      <c r="AL37" s="15"/>
      <c r="AM37" s="15"/>
      <c r="AN37" s="15"/>
      <c r="AO37" s="15"/>
      <c r="AP37" s="15"/>
      <c r="AQ37" s="15"/>
      <c r="AR37" s="15"/>
      <c r="AS37" s="15"/>
      <c r="AT37" s="15"/>
      <c r="AU37" s="15"/>
      <c r="AV37" s="15"/>
      <c r="AW37" s="15"/>
      <c r="AX37" s="15"/>
      <c r="AY37" s="15"/>
      <c r="AZ37" s="15"/>
      <c r="BA37" s="15"/>
      <c r="BB37" s="15"/>
      <c r="BC37" s="15"/>
      <c r="BD37" s="15"/>
      <c r="BE37" s="15"/>
      <c r="BF37" s="15"/>
      <c r="BG37" s="15"/>
      <c r="BH37" s="15"/>
      <c r="BI37" s="15"/>
      <c r="BJ37" s="15"/>
      <c r="BK37" s="15"/>
      <c r="BL37" s="15"/>
    </row>
  </sheetData>
  <mergeCells count="68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C20:D20"/>
    <mergeCell ref="E20:F20"/>
    <mergeCell ref="G20:H20"/>
    <mergeCell ref="I20:J20"/>
    <mergeCell ref="K20:L20"/>
    <mergeCell ref="M20:N20"/>
    <mergeCell ref="O20:P20"/>
    <mergeCell ref="Q20:R20"/>
    <mergeCell ref="S20:T20"/>
    <mergeCell ref="U20:V20"/>
    <mergeCell ref="W20:X20"/>
    <mergeCell ref="Y20:Z20"/>
    <mergeCell ref="AA20:AB20"/>
    <mergeCell ref="AC20:AD20"/>
    <mergeCell ref="AE20:AF20"/>
    <mergeCell ref="AG20:AH20"/>
    <mergeCell ref="AI20:AJ20"/>
    <mergeCell ref="AK20:AL20"/>
    <mergeCell ref="AM20:AN20"/>
    <mergeCell ref="AO20:AP20"/>
    <mergeCell ref="AQ20:AR20"/>
    <mergeCell ref="AS20:AT20"/>
    <mergeCell ref="AU20:AV20"/>
    <mergeCell ref="AW20:AX20"/>
    <mergeCell ref="AY20:AZ20"/>
    <mergeCell ref="BA20:BB20"/>
    <mergeCell ref="BC20:BD20"/>
    <mergeCell ref="BE20:BF20"/>
    <mergeCell ref="BG20:BH20"/>
    <mergeCell ref="BI20:BJ20"/>
    <mergeCell ref="A2:A20"/>
    <mergeCell ref="A21:A25"/>
    <mergeCell ref="BK3:BK7"/>
  </mergeCells>
  <pageMargins left="0.75" right="0.75" top="1" bottom="1" header="0.511805555555556" footer="0.511805555555556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zoomScale="75" zoomScaleNormal="75" topLeftCell="AU1" workbookViewId="0">
      <selection activeCell="BE12" sqref="BE12"/>
    </sheetView>
  </sheetViews>
  <sheetFormatPr defaultColWidth="9.11607142857143" defaultRowHeight="16.8"/>
  <cols>
    <col min="1" max="1" width="5.57142857142857" style="1" customWidth="1"/>
    <col min="2" max="3" width="14" style="1" customWidth="1"/>
    <col min="4" max="4" width="8.07142857142857" style="1" customWidth="1"/>
    <col min="5" max="5" width="7.57142857142857" style="1" customWidth="1"/>
    <col min="6" max="6" width="6.21428571428571" style="1" customWidth="1"/>
    <col min="7" max="7" width="15.5" style="1" customWidth="1"/>
    <col min="8" max="8" width="6.21428571428571" style="1" customWidth="1"/>
    <col min="9" max="9" width="11.7142857142857" style="1" customWidth="1"/>
    <col min="10" max="10" width="6.21428571428571" style="1" customWidth="1"/>
    <col min="11" max="11" width="11.7142857142857" style="1" customWidth="1"/>
    <col min="12" max="12" width="7.14285714285714" style="1" customWidth="1"/>
    <col min="13" max="13" width="7.57142857142857" style="1" customWidth="1"/>
    <col min="14" max="14" width="6.21428571428571" style="1" customWidth="1"/>
    <col min="15" max="15" width="14" style="1" customWidth="1"/>
    <col min="16" max="16" width="6.21428571428571" style="1" customWidth="1"/>
    <col min="17" max="17" width="9.57142857142857" style="1" customWidth="1"/>
    <col min="18" max="18" width="7.14285714285714" style="1" customWidth="1"/>
    <col min="19" max="19" width="5.57142857142857" style="1" customWidth="1"/>
    <col min="20" max="20" width="6.21428571428571" style="1" customWidth="1"/>
    <col min="21" max="21" width="9.57142857142857" style="1" customWidth="1"/>
    <col min="22" max="22" width="6.21428571428571" style="1" customWidth="1"/>
    <col min="23" max="23" width="7.57142857142857" style="1" customWidth="1"/>
    <col min="24" max="24" width="6.21428571428571" style="1" customWidth="1"/>
    <col min="25" max="25" width="11.7142857142857" style="1" customWidth="1"/>
    <col min="26" max="26" width="6.21428571428571" style="1" customWidth="1"/>
    <col min="27" max="27" width="7.57142857142857" style="1" customWidth="1"/>
    <col min="28" max="28" width="7.14285714285714" style="1" customWidth="1"/>
    <col min="29" max="29" width="14" style="1" customWidth="1"/>
    <col min="30" max="30" width="6.21428571428571" style="1" customWidth="1"/>
    <col min="31" max="31" width="9.57142857142857" style="1" customWidth="1"/>
    <col min="32" max="32" width="6.21428571428571" style="1" customWidth="1"/>
    <col min="33" max="33" width="7.57142857142857" style="1" customWidth="1"/>
    <col min="34" max="34" width="6.21428571428571" style="1" customWidth="1"/>
    <col min="35" max="35" width="8.92857142857143" style="1" customWidth="1"/>
    <col min="36" max="36" width="6.21428571428571" style="1" customWidth="1"/>
    <col min="37" max="37" width="14" style="1" customWidth="1"/>
    <col min="38" max="38" width="7.14285714285714" style="1" customWidth="1"/>
    <col min="39" max="39" width="7.57142857142857" style="1" customWidth="1"/>
    <col min="40" max="40" width="7.14285714285714" style="1" customWidth="1"/>
    <col min="41" max="41" width="8.92857142857143" style="1" customWidth="1"/>
    <col min="42" max="42" width="8.07142857142857" style="1" customWidth="1"/>
    <col min="43" max="43" width="5.57142857142857" style="1" customWidth="1"/>
    <col min="44" max="44" width="6.21428571428571" style="1" customWidth="1"/>
    <col min="45" max="45" width="5.57142857142857" style="1" customWidth="1"/>
    <col min="46" max="46" width="6.21428571428571" style="1" customWidth="1"/>
    <col min="47" max="47" width="12.4285714285714" style="1" customWidth="1"/>
    <col min="48" max="48" width="6.21428571428571" style="1" customWidth="1"/>
    <col min="49" max="49" width="5.57142857142857" style="1" customWidth="1"/>
    <col min="50" max="50" width="6.21428571428571" style="1" customWidth="1"/>
    <col min="51" max="51" width="14.0714285714286" style="1" customWidth="1"/>
    <col min="52" max="52" width="6.21428571428571" style="1" customWidth="1"/>
    <col min="53" max="53" width="14.7142857142857" style="1" customWidth="1"/>
    <col min="54" max="54" width="6.21428571428571" style="1" customWidth="1"/>
    <col min="55" max="55" width="7.57142857142857" style="1" customWidth="1"/>
    <col min="56" max="56" width="7.14285714285714" style="1" customWidth="1"/>
    <col min="57" max="57" width="9.57142857142857" style="1" customWidth="1"/>
    <col min="58" max="58" width="7.14285714285714" style="1" customWidth="1"/>
    <col min="59" max="59" width="7.57142857142857" style="1" customWidth="1"/>
    <col min="60" max="60" width="7.14285714285714" style="1" customWidth="1"/>
    <col min="61" max="61" width="8.21428571428571" style="1" customWidth="1"/>
    <col min="62" max="62" width="6.21428571428571" style="1" customWidth="1"/>
    <col min="63" max="63" width="5.57142857142857" style="1" customWidth="1"/>
    <col min="64" max="64" width="8.07142857142857" style="1" customWidth="1"/>
    <col min="65" max="65" width="7.57142857142857" style="1" customWidth="1"/>
    <col min="66" max="66" width="14" style="1" customWidth="1"/>
    <col min="67" max="14413" width="8.24107142857143" style="1"/>
    <col min="14414" max="16384" width="9.11607142857143" style="1"/>
  </cols>
  <sheetData>
    <row r="1" s="1" customFormat="1" spans="3:58">
      <c r="C1" s="31"/>
      <c r="D1" s="31"/>
      <c r="E1" s="31"/>
      <c r="F1" s="31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28"/>
      <c r="T1" s="28"/>
      <c r="U1" s="28"/>
      <c r="V1" s="28"/>
      <c r="W1" s="28"/>
      <c r="X1" s="28"/>
      <c r="Y1" s="28"/>
      <c r="Z1" s="28"/>
      <c r="AK1" s="16"/>
      <c r="AL1" s="16"/>
      <c r="BA1" s="58"/>
      <c r="BB1" s="58"/>
      <c r="BE1" s="61"/>
      <c r="BF1" s="61"/>
    </row>
    <row r="2" s="1" customFormat="1" spans="1:66">
      <c r="A2" s="32"/>
      <c r="B2" s="33" t="s">
        <v>1</v>
      </c>
      <c r="C2" s="34">
        <v>44317</v>
      </c>
      <c r="D2" s="3"/>
      <c r="E2" s="34">
        <v>44318</v>
      </c>
      <c r="F2" s="3"/>
      <c r="G2" s="34">
        <v>44319</v>
      </c>
      <c r="H2" s="3"/>
      <c r="I2" s="34">
        <v>44320</v>
      </c>
      <c r="J2" s="3"/>
      <c r="K2" s="34">
        <v>44321</v>
      </c>
      <c r="L2" s="3"/>
      <c r="M2" s="34">
        <v>44322</v>
      </c>
      <c r="N2" s="3"/>
      <c r="O2" s="34">
        <v>44323</v>
      </c>
      <c r="P2" s="3"/>
      <c r="Q2" s="34">
        <v>44324</v>
      </c>
      <c r="R2" s="3"/>
      <c r="S2" s="34">
        <v>44325</v>
      </c>
      <c r="T2" s="3"/>
      <c r="U2" s="34">
        <v>44326</v>
      </c>
      <c r="V2" s="3"/>
      <c r="W2" s="34">
        <v>44327</v>
      </c>
      <c r="X2" s="3"/>
      <c r="Y2" s="34">
        <v>44328</v>
      </c>
      <c r="Z2" s="3"/>
      <c r="AA2" s="34">
        <v>44329</v>
      </c>
      <c r="AB2" s="3"/>
      <c r="AC2" s="34">
        <v>44330</v>
      </c>
      <c r="AD2" s="3"/>
      <c r="AE2" s="34">
        <v>44331</v>
      </c>
      <c r="AF2" s="3"/>
      <c r="AG2" s="34">
        <v>44332</v>
      </c>
      <c r="AH2" s="3"/>
      <c r="AI2" s="34">
        <v>44333</v>
      </c>
      <c r="AJ2" s="3"/>
      <c r="AK2" s="34">
        <v>44334</v>
      </c>
      <c r="AL2" s="3"/>
      <c r="AM2" s="34">
        <v>44335</v>
      </c>
      <c r="AN2" s="3"/>
      <c r="AO2" s="34">
        <v>44336</v>
      </c>
      <c r="AP2" s="3"/>
      <c r="AQ2" s="34">
        <v>44337</v>
      </c>
      <c r="AR2" s="3"/>
      <c r="AS2" s="34">
        <v>44338</v>
      </c>
      <c r="AT2" s="3"/>
      <c r="AU2" s="34">
        <v>44339</v>
      </c>
      <c r="AV2" s="3"/>
      <c r="AW2" s="34">
        <v>44340</v>
      </c>
      <c r="AX2" s="3"/>
      <c r="AY2" s="34">
        <v>44341</v>
      </c>
      <c r="AZ2" s="3"/>
      <c r="BA2" s="34">
        <v>44342</v>
      </c>
      <c r="BB2" s="3"/>
      <c r="BC2" s="34">
        <v>44343</v>
      </c>
      <c r="BD2" s="3"/>
      <c r="BE2" s="34">
        <v>44344</v>
      </c>
      <c r="BF2" s="3"/>
      <c r="BG2" s="34">
        <v>44345</v>
      </c>
      <c r="BH2" s="3"/>
      <c r="BI2" s="34">
        <v>44346</v>
      </c>
      <c r="BJ2" s="3"/>
      <c r="BK2" s="34">
        <v>44347</v>
      </c>
      <c r="BL2" s="3"/>
      <c r="BM2" s="34" t="s">
        <v>2</v>
      </c>
      <c r="BN2" s="2" t="s">
        <v>1</v>
      </c>
    </row>
    <row r="3" s="1" customFormat="1" spans="1:66">
      <c r="A3" s="35" t="s">
        <v>3</v>
      </c>
      <c r="B3" s="36" t="s">
        <v>4</v>
      </c>
      <c r="C3" s="35"/>
      <c r="D3" s="37"/>
      <c r="E3" s="51"/>
      <c r="F3" s="52"/>
      <c r="G3" s="15"/>
      <c r="H3" s="37">
        <v>15</v>
      </c>
      <c r="I3" s="35"/>
      <c r="J3" s="37"/>
      <c r="K3" s="35"/>
      <c r="L3" s="37">
        <v>4.3</v>
      </c>
      <c r="M3" s="35"/>
      <c r="N3" s="37"/>
      <c r="O3" s="35"/>
      <c r="P3" s="37">
        <v>51</v>
      </c>
      <c r="Q3" s="35"/>
      <c r="R3" s="37">
        <v>16.7</v>
      </c>
      <c r="S3" s="35"/>
      <c r="T3" s="37"/>
      <c r="U3" s="15"/>
      <c r="V3" s="37"/>
      <c r="W3" s="35"/>
      <c r="X3" s="37">
        <v>9.5</v>
      </c>
      <c r="Y3" s="35"/>
      <c r="Z3" s="15"/>
      <c r="AA3" s="35"/>
      <c r="AB3" s="15"/>
      <c r="AC3" s="35"/>
      <c r="AD3" s="15">
        <v>20</v>
      </c>
      <c r="AE3" s="35"/>
      <c r="AF3" s="15"/>
      <c r="AG3" s="35"/>
      <c r="AH3" s="15"/>
      <c r="AI3" s="35"/>
      <c r="AJ3" s="15"/>
      <c r="AK3" s="35"/>
      <c r="AL3" s="15">
        <v>27</v>
      </c>
      <c r="AM3" s="35"/>
      <c r="AN3" s="15">
        <v>16</v>
      </c>
      <c r="AO3" s="35"/>
      <c r="AP3" s="15"/>
      <c r="AQ3" s="35"/>
      <c r="AR3" s="15"/>
      <c r="AS3" s="35"/>
      <c r="AT3" s="15"/>
      <c r="AU3" s="35"/>
      <c r="AV3" s="37">
        <v>18.5</v>
      </c>
      <c r="AW3" s="15"/>
      <c r="AX3" s="37"/>
      <c r="AY3" s="35"/>
      <c r="AZ3" s="37"/>
      <c r="BA3" s="35"/>
      <c r="BB3" s="37"/>
      <c r="BC3" s="35"/>
      <c r="BD3" s="37"/>
      <c r="BE3" s="35"/>
      <c r="BF3" s="62"/>
      <c r="BG3" s="35"/>
      <c r="BH3" s="37"/>
      <c r="BI3" s="35"/>
      <c r="BJ3" s="37"/>
      <c r="BK3" s="35"/>
      <c r="BL3" s="37"/>
      <c r="BM3" s="7">
        <f>SUM(C3:BL6)</f>
        <v>2155.25</v>
      </c>
      <c r="BN3" s="29" t="s">
        <v>4</v>
      </c>
    </row>
    <row r="4" s="1" customFormat="1" spans="1:66">
      <c r="A4" s="35"/>
      <c r="B4" s="36" t="s">
        <v>5</v>
      </c>
      <c r="C4" s="35"/>
      <c r="D4" s="37">
        <v>15</v>
      </c>
      <c r="E4" s="15"/>
      <c r="F4" s="37">
        <v>51</v>
      </c>
      <c r="G4" s="15"/>
      <c r="H4" s="37"/>
      <c r="I4" s="35"/>
      <c r="J4" s="37"/>
      <c r="K4" s="35"/>
      <c r="L4" s="37"/>
      <c r="M4" s="35"/>
      <c r="N4" s="37">
        <v>12</v>
      </c>
      <c r="O4" s="35"/>
      <c r="P4" s="37">
        <v>54</v>
      </c>
      <c r="Q4" s="35"/>
      <c r="R4" s="37">
        <v>17.8</v>
      </c>
      <c r="S4" s="35"/>
      <c r="T4" s="37">
        <v>25.8</v>
      </c>
      <c r="U4" s="15"/>
      <c r="V4" s="37">
        <v>12</v>
      </c>
      <c r="W4" s="35"/>
      <c r="X4" s="37">
        <v>10</v>
      </c>
      <c r="Y4" s="35"/>
      <c r="Z4" s="15">
        <v>10</v>
      </c>
      <c r="AA4" s="35"/>
      <c r="AB4" s="15">
        <v>10</v>
      </c>
      <c r="AC4" s="35"/>
      <c r="AD4" s="15">
        <v>20</v>
      </c>
      <c r="AE4" s="35"/>
      <c r="AF4" s="15">
        <v>38</v>
      </c>
      <c r="AG4" s="35"/>
      <c r="AH4" s="15">
        <v>24</v>
      </c>
      <c r="AI4" s="35"/>
      <c r="AJ4" s="15">
        <v>10</v>
      </c>
      <c r="AK4" s="35"/>
      <c r="AL4" s="15">
        <v>10</v>
      </c>
      <c r="AM4" s="35"/>
      <c r="AN4" s="15">
        <v>138</v>
      </c>
      <c r="AO4" s="35"/>
      <c r="AP4" s="15">
        <v>181</v>
      </c>
      <c r="AQ4" s="35"/>
      <c r="AR4" s="15">
        <v>11</v>
      </c>
      <c r="AS4" s="35"/>
      <c r="AT4" s="15"/>
      <c r="AU4" s="35"/>
      <c r="AV4" s="37">
        <v>14</v>
      </c>
      <c r="AW4" s="15"/>
      <c r="AX4" s="37">
        <v>11</v>
      </c>
      <c r="AY4" s="35"/>
      <c r="AZ4" s="37">
        <v>25</v>
      </c>
      <c r="BA4" s="35"/>
      <c r="BB4" s="37">
        <v>12</v>
      </c>
      <c r="BC4" s="35"/>
      <c r="BD4" s="37">
        <v>16</v>
      </c>
      <c r="BE4" s="35"/>
      <c r="BF4" s="62">
        <v>17</v>
      </c>
      <c r="BG4" s="35"/>
      <c r="BH4" s="37">
        <v>50</v>
      </c>
      <c r="BI4" s="35"/>
      <c r="BJ4" s="37">
        <v>16</v>
      </c>
      <c r="BK4" s="35"/>
      <c r="BL4" s="37">
        <v>16.7</v>
      </c>
      <c r="BM4" s="7"/>
      <c r="BN4" s="29" t="s">
        <v>5</v>
      </c>
    </row>
    <row r="5" s="1" customFormat="1" spans="1:66">
      <c r="A5" s="35"/>
      <c r="B5" s="36" t="s">
        <v>6</v>
      </c>
      <c r="C5" s="35" t="s">
        <v>124</v>
      </c>
      <c r="D5" s="15">
        <v>102</v>
      </c>
      <c r="E5" s="35"/>
      <c r="F5" s="15">
        <v>50</v>
      </c>
      <c r="G5" s="35"/>
      <c r="H5" s="15"/>
      <c r="I5" s="35"/>
      <c r="J5" s="37"/>
      <c r="K5" s="35"/>
      <c r="L5" s="37">
        <v>38.55</v>
      </c>
      <c r="M5" s="35"/>
      <c r="N5" s="37">
        <v>10</v>
      </c>
      <c r="O5" s="35"/>
      <c r="P5" s="37">
        <v>30.6</v>
      </c>
      <c r="Q5" s="35"/>
      <c r="R5" s="37">
        <v>74</v>
      </c>
      <c r="S5" s="35"/>
      <c r="T5" s="37">
        <v>70</v>
      </c>
      <c r="U5" s="15"/>
      <c r="V5" s="37">
        <v>30</v>
      </c>
      <c r="W5" s="35"/>
      <c r="X5" s="37">
        <v>30.4</v>
      </c>
      <c r="Y5" s="35"/>
      <c r="Z5" s="15">
        <v>10</v>
      </c>
      <c r="AA5" s="35"/>
      <c r="AB5" s="15">
        <v>10.4</v>
      </c>
      <c r="AC5" s="35"/>
      <c r="AD5" s="15">
        <v>54</v>
      </c>
      <c r="AE5" s="35"/>
      <c r="AF5" s="15">
        <v>24</v>
      </c>
      <c r="AG5" s="35"/>
      <c r="AH5" s="15">
        <v>17</v>
      </c>
      <c r="AI5" s="35"/>
      <c r="AJ5" s="15">
        <v>11</v>
      </c>
      <c r="AK5" s="35"/>
      <c r="AL5" s="15">
        <v>12</v>
      </c>
      <c r="AM5" s="35"/>
      <c r="AN5" s="15">
        <v>14</v>
      </c>
      <c r="AO5" s="35"/>
      <c r="AP5" s="15"/>
      <c r="AQ5" s="35"/>
      <c r="AR5" s="15">
        <v>8.5</v>
      </c>
      <c r="AS5" s="35"/>
      <c r="AT5" s="15">
        <v>15</v>
      </c>
      <c r="AU5" s="35"/>
      <c r="AV5" s="37"/>
      <c r="AW5" s="15"/>
      <c r="AX5" s="37">
        <v>23</v>
      </c>
      <c r="AY5" s="35"/>
      <c r="AZ5" s="37">
        <v>16.5</v>
      </c>
      <c r="BA5" s="35"/>
      <c r="BB5" s="37">
        <v>15</v>
      </c>
      <c r="BC5" s="35"/>
      <c r="BD5" s="37">
        <v>23</v>
      </c>
      <c r="BE5" s="35"/>
      <c r="BF5" s="62">
        <v>9</v>
      </c>
      <c r="BG5" s="35"/>
      <c r="BH5" s="37">
        <v>94</v>
      </c>
      <c r="BI5" s="35"/>
      <c r="BJ5" s="37">
        <v>43</v>
      </c>
      <c r="BK5" s="35"/>
      <c r="BL5" s="37"/>
      <c r="BM5" s="7"/>
      <c r="BN5" s="29" t="s">
        <v>6</v>
      </c>
    </row>
    <row r="6" s="1" customFormat="1" spans="1:66">
      <c r="A6" s="38"/>
      <c r="B6" s="39" t="s">
        <v>8</v>
      </c>
      <c r="C6" s="38"/>
      <c r="D6" s="40">
        <v>2</v>
      </c>
      <c r="E6" s="38"/>
      <c r="F6" s="40">
        <v>32</v>
      </c>
      <c r="G6" s="38"/>
      <c r="H6" s="40">
        <v>4</v>
      </c>
      <c r="I6" s="38"/>
      <c r="J6" s="53"/>
      <c r="K6" s="38"/>
      <c r="L6" s="53">
        <v>27</v>
      </c>
      <c r="M6" s="38"/>
      <c r="N6" s="53"/>
      <c r="O6" s="38"/>
      <c r="P6" s="53"/>
      <c r="Q6" s="38" t="s">
        <v>125</v>
      </c>
      <c r="R6" s="53">
        <v>36</v>
      </c>
      <c r="S6" s="38"/>
      <c r="T6" s="53"/>
      <c r="U6" s="40"/>
      <c r="V6" s="53">
        <v>21</v>
      </c>
      <c r="W6" s="38"/>
      <c r="X6" s="53"/>
      <c r="Y6" s="38" t="s">
        <v>126</v>
      </c>
      <c r="Z6" s="40">
        <v>64</v>
      </c>
      <c r="AA6" s="38"/>
      <c r="AB6" s="40"/>
      <c r="AC6" s="38"/>
      <c r="AD6" s="40"/>
      <c r="AE6" s="38"/>
      <c r="AF6" s="40"/>
      <c r="AG6" s="38"/>
      <c r="AH6" s="40">
        <v>26</v>
      </c>
      <c r="AI6" s="38" t="s">
        <v>127</v>
      </c>
      <c r="AJ6" s="40">
        <v>40</v>
      </c>
      <c r="AK6" s="38"/>
      <c r="AL6" s="40"/>
      <c r="AM6" s="38"/>
      <c r="AN6" s="40"/>
      <c r="AO6" s="38" t="s">
        <v>128</v>
      </c>
      <c r="AP6" s="40">
        <v>22</v>
      </c>
      <c r="AQ6" s="38" t="s">
        <v>129</v>
      </c>
      <c r="AR6" s="40">
        <v>7.5</v>
      </c>
      <c r="AS6" s="38"/>
      <c r="AT6" s="40"/>
      <c r="AU6" s="38"/>
      <c r="AV6" s="53"/>
      <c r="AW6" s="40"/>
      <c r="AX6" s="53">
        <v>15</v>
      </c>
      <c r="AY6" s="38"/>
      <c r="AZ6" s="53"/>
      <c r="BA6" s="38"/>
      <c r="BB6" s="53">
        <v>8.5</v>
      </c>
      <c r="BC6" s="38"/>
      <c r="BD6" s="53"/>
      <c r="BE6" s="38"/>
      <c r="BF6" s="63"/>
      <c r="BG6" s="38"/>
      <c r="BH6" s="53"/>
      <c r="BI6" s="38"/>
      <c r="BJ6" s="53"/>
      <c r="BK6" s="38"/>
      <c r="BL6" s="53">
        <v>10</v>
      </c>
      <c r="BM6" s="7"/>
      <c r="BN6" s="5" t="s">
        <v>8</v>
      </c>
    </row>
    <row r="7" s="1" customFormat="1" spans="1:66">
      <c r="A7" s="41" t="s">
        <v>11</v>
      </c>
      <c r="B7" s="42" t="s">
        <v>12</v>
      </c>
      <c r="C7" s="35"/>
      <c r="D7" s="37"/>
      <c r="E7" s="51"/>
      <c r="F7" s="51"/>
      <c r="G7" s="41"/>
      <c r="H7" s="52"/>
      <c r="I7" s="51"/>
      <c r="J7" s="52">
        <v>42.85</v>
      </c>
      <c r="K7" s="51"/>
      <c r="L7" s="52">
        <v>11.38</v>
      </c>
      <c r="M7" s="51"/>
      <c r="N7" s="37"/>
      <c r="O7" s="51"/>
      <c r="P7" s="52">
        <v>57.5</v>
      </c>
      <c r="Q7" s="51"/>
      <c r="R7" s="52">
        <v>5</v>
      </c>
      <c r="S7" s="51"/>
      <c r="T7" s="37">
        <v>2.5</v>
      </c>
      <c r="U7" s="51"/>
      <c r="V7" s="52">
        <v>15.5</v>
      </c>
      <c r="W7" s="41"/>
      <c r="X7" s="52"/>
      <c r="Y7" s="41"/>
      <c r="Z7" s="51"/>
      <c r="AA7" s="41"/>
      <c r="AB7" s="51"/>
      <c r="AC7" s="41"/>
      <c r="AD7" s="51"/>
      <c r="AE7" s="41"/>
      <c r="AF7" s="51"/>
      <c r="AG7" s="41"/>
      <c r="AH7" s="51"/>
      <c r="AI7" s="41"/>
      <c r="AJ7" s="51"/>
      <c r="AK7" s="41"/>
      <c r="AL7" s="51"/>
      <c r="AM7" s="41"/>
      <c r="AN7" s="51"/>
      <c r="AO7" s="41"/>
      <c r="AP7" s="51"/>
      <c r="AQ7" s="41"/>
      <c r="AR7" s="51"/>
      <c r="AS7" s="41"/>
      <c r="AT7" s="51"/>
      <c r="AU7" s="41"/>
      <c r="AV7" s="52"/>
      <c r="AW7" s="51"/>
      <c r="AX7" s="52"/>
      <c r="AY7" s="41"/>
      <c r="AZ7" s="52"/>
      <c r="BA7" s="41"/>
      <c r="BB7" s="52"/>
      <c r="BC7" s="41"/>
      <c r="BD7" s="52"/>
      <c r="BE7" s="41"/>
      <c r="BF7" s="52"/>
      <c r="BG7" s="41"/>
      <c r="BH7" s="52"/>
      <c r="BI7" s="41"/>
      <c r="BJ7" s="52"/>
      <c r="BK7" s="41"/>
      <c r="BL7" s="52"/>
      <c r="BM7" s="7">
        <f>SUM(C7:BL7)</f>
        <v>134.73</v>
      </c>
      <c r="BN7" s="5" t="s">
        <v>12</v>
      </c>
    </row>
    <row r="8" s="1" customFormat="1" spans="1:66">
      <c r="A8" s="35"/>
      <c r="B8" s="42" t="s">
        <v>13</v>
      </c>
      <c r="C8" s="35"/>
      <c r="D8" s="37"/>
      <c r="E8" s="15"/>
      <c r="F8" s="15"/>
      <c r="G8" s="35"/>
      <c r="H8" s="37"/>
      <c r="I8" s="15"/>
      <c r="J8" s="37"/>
      <c r="K8" s="15"/>
      <c r="L8" s="37"/>
      <c r="M8" s="15"/>
      <c r="N8" s="37"/>
      <c r="O8" s="15"/>
      <c r="P8" s="37"/>
      <c r="Q8" s="15"/>
      <c r="R8" s="37"/>
      <c r="S8" s="54"/>
      <c r="T8" s="37"/>
      <c r="U8" s="15"/>
      <c r="V8" s="37"/>
      <c r="W8" s="35"/>
      <c r="X8" s="37"/>
      <c r="Y8" s="35"/>
      <c r="Z8" s="15"/>
      <c r="AA8" s="35"/>
      <c r="AB8" s="15"/>
      <c r="AC8" s="35"/>
      <c r="AD8" s="15"/>
      <c r="AE8" s="35"/>
      <c r="AF8" s="15"/>
      <c r="AG8" s="35"/>
      <c r="AH8" s="15"/>
      <c r="AI8" s="35"/>
      <c r="AJ8" s="15"/>
      <c r="AK8" s="35"/>
      <c r="AL8" s="15"/>
      <c r="AM8" s="35"/>
      <c r="AN8" s="15"/>
      <c r="AO8" s="35"/>
      <c r="AP8" s="15"/>
      <c r="AQ8" s="35"/>
      <c r="AR8" s="15"/>
      <c r="AS8" s="35"/>
      <c r="AT8" s="15"/>
      <c r="AU8" s="35"/>
      <c r="AV8" s="37"/>
      <c r="AW8" s="15"/>
      <c r="AX8" s="37"/>
      <c r="AY8" s="35"/>
      <c r="AZ8" s="37"/>
      <c r="BA8" s="35"/>
      <c r="BB8" s="37"/>
      <c r="BC8" s="35"/>
      <c r="BD8" s="37"/>
      <c r="BE8" s="35"/>
      <c r="BF8" s="37"/>
      <c r="BG8" s="35"/>
      <c r="BH8" s="37"/>
      <c r="BI8" s="35" t="s">
        <v>130</v>
      </c>
      <c r="BJ8" s="37">
        <v>72</v>
      </c>
      <c r="BK8" s="35"/>
      <c r="BL8" s="37"/>
      <c r="BM8" s="7">
        <f>SUM(C8:BL8)</f>
        <v>72</v>
      </c>
      <c r="BN8" s="5" t="s">
        <v>13</v>
      </c>
    </row>
    <row r="9" s="1" customFormat="1" spans="1:66">
      <c r="A9" s="35"/>
      <c r="B9" s="42" t="s">
        <v>56</v>
      </c>
      <c r="C9" s="35"/>
      <c r="D9" s="37">
        <v>75</v>
      </c>
      <c r="E9" s="15"/>
      <c r="F9" s="15"/>
      <c r="G9" s="35"/>
      <c r="H9" s="37"/>
      <c r="I9" s="15"/>
      <c r="J9" s="37"/>
      <c r="K9" s="15"/>
      <c r="L9" s="37"/>
      <c r="M9" s="15"/>
      <c r="N9" s="37"/>
      <c r="O9" s="15"/>
      <c r="P9" s="37"/>
      <c r="Q9" s="15"/>
      <c r="R9" s="37"/>
      <c r="S9" s="54"/>
      <c r="T9" s="37"/>
      <c r="U9" s="15"/>
      <c r="V9" s="37"/>
      <c r="W9" s="35"/>
      <c r="X9" s="37"/>
      <c r="Y9" s="35"/>
      <c r="Z9" s="15"/>
      <c r="AA9" s="35" t="s">
        <v>56</v>
      </c>
      <c r="AB9" s="15">
        <v>-120</v>
      </c>
      <c r="AC9" s="35"/>
      <c r="AD9" s="15"/>
      <c r="AE9" s="35"/>
      <c r="AF9" s="15"/>
      <c r="AG9" s="35"/>
      <c r="AH9" s="15"/>
      <c r="AI9" s="35"/>
      <c r="AJ9" s="15"/>
      <c r="AK9" s="35" t="s">
        <v>131</v>
      </c>
      <c r="AL9" s="15">
        <v>21</v>
      </c>
      <c r="AM9" s="35"/>
      <c r="AN9" s="15">
        <v>100</v>
      </c>
      <c r="AO9" s="35"/>
      <c r="AP9" s="15"/>
      <c r="AQ9" s="35"/>
      <c r="AR9" s="15"/>
      <c r="AS9" s="35"/>
      <c r="AT9" s="15"/>
      <c r="AU9" s="35" t="s">
        <v>132</v>
      </c>
      <c r="AV9" s="37">
        <v>48</v>
      </c>
      <c r="AW9" s="15"/>
      <c r="AX9" s="37"/>
      <c r="AY9" s="35"/>
      <c r="AZ9" s="37"/>
      <c r="BA9" s="35" t="s">
        <v>133</v>
      </c>
      <c r="BB9" s="37">
        <v>19</v>
      </c>
      <c r="BC9" s="35"/>
      <c r="BD9" s="37"/>
      <c r="BE9" s="35" t="s">
        <v>134</v>
      </c>
      <c r="BF9" s="37">
        <v>6</v>
      </c>
      <c r="BG9" s="35" t="s">
        <v>56</v>
      </c>
      <c r="BH9" s="37">
        <v>-150</v>
      </c>
      <c r="BI9" s="35"/>
      <c r="BJ9" s="37"/>
      <c r="BK9" s="35"/>
      <c r="BL9" s="37"/>
      <c r="BM9" s="7">
        <f>SUM(C9:BL9)</f>
        <v>-1</v>
      </c>
      <c r="BN9" s="5" t="s">
        <v>56</v>
      </c>
    </row>
    <row r="10" s="1" customFormat="1" spans="1:66">
      <c r="A10" s="35"/>
      <c r="B10" s="44" t="s">
        <v>18</v>
      </c>
      <c r="C10" s="35" t="s">
        <v>135</v>
      </c>
      <c r="D10" s="37">
        <v>15</v>
      </c>
      <c r="E10" s="15"/>
      <c r="F10" s="15"/>
      <c r="G10" s="35" t="s">
        <v>136</v>
      </c>
      <c r="H10" s="37">
        <f>45+39.75</f>
        <v>84.75</v>
      </c>
      <c r="I10" s="15" t="s">
        <v>137</v>
      </c>
      <c r="J10" s="37">
        <v>22</v>
      </c>
      <c r="K10" s="15"/>
      <c r="L10" s="37"/>
      <c r="M10" s="15"/>
      <c r="N10" s="37"/>
      <c r="O10" s="15"/>
      <c r="P10" s="37"/>
      <c r="Q10" s="15"/>
      <c r="R10" s="37"/>
      <c r="S10" s="35"/>
      <c r="T10" s="37"/>
      <c r="U10" s="15"/>
      <c r="V10" s="37"/>
      <c r="W10" s="35"/>
      <c r="X10" s="37"/>
      <c r="Y10" s="35"/>
      <c r="Z10" s="15"/>
      <c r="AA10" s="35"/>
      <c r="AB10" s="15"/>
      <c r="AC10" s="35"/>
      <c r="AD10" s="15"/>
      <c r="AE10" s="35"/>
      <c r="AF10" s="15"/>
      <c r="AG10" s="35"/>
      <c r="AH10" s="15"/>
      <c r="AI10" s="35"/>
      <c r="AJ10" s="15"/>
      <c r="AK10" s="35"/>
      <c r="AL10" s="15"/>
      <c r="AM10" s="35"/>
      <c r="AN10" s="15"/>
      <c r="AO10" s="35"/>
      <c r="AP10" s="15"/>
      <c r="AQ10" s="35"/>
      <c r="AR10" s="15"/>
      <c r="AS10" s="35"/>
      <c r="AT10" s="15"/>
      <c r="AU10" s="35"/>
      <c r="AV10" s="37"/>
      <c r="AW10" s="15"/>
      <c r="AX10" s="37"/>
      <c r="AY10" s="35"/>
      <c r="AZ10" s="37"/>
      <c r="BA10" s="35"/>
      <c r="BB10" s="37"/>
      <c r="BC10" s="35"/>
      <c r="BD10" s="37"/>
      <c r="BE10" s="35"/>
      <c r="BF10" s="37"/>
      <c r="BG10" s="35"/>
      <c r="BH10" s="37"/>
      <c r="BI10" s="35"/>
      <c r="BJ10" s="37"/>
      <c r="BK10" s="35"/>
      <c r="BL10" s="37"/>
      <c r="BM10" s="7">
        <f t="shared" ref="BM10:BM23" si="0">SUM(C10:BL10)</f>
        <v>121.75</v>
      </c>
      <c r="BN10" s="5" t="s">
        <v>19</v>
      </c>
    </row>
    <row r="11" s="1" customFormat="1" spans="1:66">
      <c r="A11" s="35"/>
      <c r="B11" s="45" t="s">
        <v>20</v>
      </c>
      <c r="C11" s="35"/>
      <c r="D11" s="37"/>
      <c r="E11" s="15"/>
      <c r="F11" s="15"/>
      <c r="G11" s="35"/>
      <c r="H11" s="37"/>
      <c r="I11" s="15"/>
      <c r="J11" s="15"/>
      <c r="K11" s="35"/>
      <c r="L11" s="37"/>
      <c r="M11" s="35"/>
      <c r="N11" s="37"/>
      <c r="O11" s="35"/>
      <c r="P11" s="37"/>
      <c r="Q11" s="35" t="s">
        <v>138</v>
      </c>
      <c r="R11" s="37">
        <v>6</v>
      </c>
      <c r="S11" s="35"/>
      <c r="T11" s="37"/>
      <c r="U11" s="15"/>
      <c r="V11" s="37"/>
      <c r="W11" s="35"/>
      <c r="X11" s="37"/>
      <c r="Y11" s="35"/>
      <c r="Z11" s="15"/>
      <c r="AA11" s="35"/>
      <c r="AB11" s="15"/>
      <c r="AC11" s="35"/>
      <c r="AD11" s="15"/>
      <c r="AE11" s="35"/>
      <c r="AF11" s="15"/>
      <c r="AG11" s="35"/>
      <c r="AH11" s="15"/>
      <c r="AI11" s="35"/>
      <c r="AJ11" s="15"/>
      <c r="AK11" s="35"/>
      <c r="AL11" s="15"/>
      <c r="AM11" s="35"/>
      <c r="AN11" s="15"/>
      <c r="AO11" s="35"/>
      <c r="AP11" s="15"/>
      <c r="AQ11" s="35"/>
      <c r="AR11" s="15"/>
      <c r="AS11" s="35"/>
      <c r="AT11" s="15"/>
      <c r="AU11" s="35"/>
      <c r="AV11" s="37"/>
      <c r="AW11" s="15"/>
      <c r="AX11" s="37"/>
      <c r="AY11" s="35"/>
      <c r="AZ11" s="37"/>
      <c r="BA11" s="35"/>
      <c r="BB11" s="37"/>
      <c r="BC11" s="35"/>
      <c r="BD11" s="37"/>
      <c r="BE11" s="35"/>
      <c r="BF11" s="37"/>
      <c r="BG11" s="35"/>
      <c r="BH11" s="37"/>
      <c r="BI11" s="35"/>
      <c r="BJ11" s="37"/>
      <c r="BK11" s="35"/>
      <c r="BL11" s="37"/>
      <c r="BM11" s="7">
        <f t="shared" si="0"/>
        <v>6</v>
      </c>
      <c r="BN11" s="5" t="s">
        <v>20</v>
      </c>
    </row>
    <row r="12" s="1" customFormat="1" spans="1:66">
      <c r="A12" s="35"/>
      <c r="B12" s="45" t="s">
        <v>22</v>
      </c>
      <c r="C12" s="35"/>
      <c r="D12" s="15"/>
      <c r="E12" s="35" t="s">
        <v>23</v>
      </c>
      <c r="F12" s="37">
        <v>72</v>
      </c>
      <c r="G12" s="35" t="s">
        <v>139</v>
      </c>
      <c r="H12" s="37">
        <v>30</v>
      </c>
      <c r="I12" s="35" t="s">
        <v>140</v>
      </c>
      <c r="J12" s="37">
        <v>70</v>
      </c>
      <c r="K12" s="35" t="s">
        <v>141</v>
      </c>
      <c r="L12" s="37">
        <v>103</v>
      </c>
      <c r="M12" s="35"/>
      <c r="N12" s="37"/>
      <c r="O12" s="35"/>
      <c r="P12" s="37"/>
      <c r="Q12" s="35" t="s">
        <v>67</v>
      </c>
      <c r="R12" s="37">
        <v>106</v>
      </c>
      <c r="S12" s="35"/>
      <c r="T12" s="37"/>
      <c r="U12" s="15"/>
      <c r="V12" s="37"/>
      <c r="W12" s="35" t="s">
        <v>23</v>
      </c>
      <c r="X12" s="37">
        <v>68</v>
      </c>
      <c r="Y12" s="35"/>
      <c r="Z12" s="15"/>
      <c r="AA12" s="35"/>
      <c r="AB12" s="15"/>
      <c r="AC12" s="35"/>
      <c r="AD12" s="15"/>
      <c r="AE12" s="35" t="s">
        <v>142</v>
      </c>
      <c r="AF12" s="15">
        <v>30</v>
      </c>
      <c r="AG12" s="35"/>
      <c r="AH12" s="15"/>
      <c r="AI12" s="35" t="s">
        <v>143</v>
      </c>
      <c r="AJ12" s="15">
        <v>22</v>
      </c>
      <c r="AK12" s="35"/>
      <c r="AL12" s="15"/>
      <c r="AM12" s="35"/>
      <c r="AN12" s="15"/>
      <c r="AO12" s="35" t="s">
        <v>144</v>
      </c>
      <c r="AP12" s="15">
        <f>178+90</f>
        <v>268</v>
      </c>
      <c r="AQ12" s="35"/>
      <c r="AR12" s="15"/>
      <c r="AS12" s="35"/>
      <c r="AT12" s="15"/>
      <c r="AU12" s="35"/>
      <c r="AV12" s="37"/>
      <c r="AW12" s="15"/>
      <c r="AX12" s="37"/>
      <c r="AY12" s="35"/>
      <c r="AZ12" s="37"/>
      <c r="BA12" s="35"/>
      <c r="BB12" s="37"/>
      <c r="BC12" s="35"/>
      <c r="BD12" s="37"/>
      <c r="BE12" s="35" t="s">
        <v>145</v>
      </c>
      <c r="BF12" s="37">
        <v>63</v>
      </c>
      <c r="BG12" s="35"/>
      <c r="BH12" s="37"/>
      <c r="BI12" s="35"/>
      <c r="BJ12" s="37"/>
      <c r="BK12" s="35"/>
      <c r="BL12" s="37"/>
      <c r="BM12" s="7">
        <f t="shared" si="0"/>
        <v>832</v>
      </c>
      <c r="BN12" s="5" t="s">
        <v>22</v>
      </c>
    </row>
    <row r="13" s="1" customFormat="1" spans="1:66">
      <c r="A13" s="35"/>
      <c r="B13" s="45" t="s">
        <v>25</v>
      </c>
      <c r="C13" s="35"/>
      <c r="D13" s="15"/>
      <c r="E13" s="35"/>
      <c r="F13" s="37"/>
      <c r="G13" s="35"/>
      <c r="H13" s="37"/>
      <c r="I13" s="35"/>
      <c r="J13" s="37"/>
      <c r="K13" s="35"/>
      <c r="L13" s="37"/>
      <c r="M13" s="35"/>
      <c r="N13" s="37"/>
      <c r="O13" s="35"/>
      <c r="P13" s="37"/>
      <c r="Q13" s="35"/>
      <c r="R13" s="37"/>
      <c r="S13" s="35"/>
      <c r="T13" s="37"/>
      <c r="U13" s="15"/>
      <c r="V13" s="37"/>
      <c r="W13" s="35"/>
      <c r="X13" s="37"/>
      <c r="Y13" s="35"/>
      <c r="Z13" s="15"/>
      <c r="AA13" s="35"/>
      <c r="AB13" s="15"/>
      <c r="AC13" s="35"/>
      <c r="AD13" s="15"/>
      <c r="AE13" s="35"/>
      <c r="AF13" s="15"/>
      <c r="AG13" s="35"/>
      <c r="AH13" s="15"/>
      <c r="AI13" s="35" t="s">
        <v>146</v>
      </c>
      <c r="AJ13" s="15">
        <v>32</v>
      </c>
      <c r="AK13" s="35"/>
      <c r="AL13" s="15">
        <v>188</v>
      </c>
      <c r="AM13" s="35"/>
      <c r="AN13" s="15"/>
      <c r="AO13" s="35"/>
      <c r="AP13" s="15"/>
      <c r="AQ13" s="35"/>
      <c r="AR13" s="15"/>
      <c r="AS13" s="35"/>
      <c r="AT13" s="15"/>
      <c r="AU13" s="35"/>
      <c r="AV13" s="37"/>
      <c r="AW13" s="15"/>
      <c r="AX13" s="37"/>
      <c r="AY13" s="35"/>
      <c r="AZ13" s="37"/>
      <c r="BA13" s="35"/>
      <c r="BB13" s="37"/>
      <c r="BC13" s="35"/>
      <c r="BD13" s="37"/>
      <c r="BE13" s="35"/>
      <c r="BF13" s="37">
        <v>201</v>
      </c>
      <c r="BG13" s="35"/>
      <c r="BH13" s="37"/>
      <c r="BI13" s="35"/>
      <c r="BJ13" s="37"/>
      <c r="BK13" s="35"/>
      <c r="BL13" s="37"/>
      <c r="BM13" s="7">
        <f t="shared" si="0"/>
        <v>421</v>
      </c>
      <c r="BN13" s="5" t="s">
        <v>25</v>
      </c>
    </row>
    <row r="14" s="1" customFormat="1" spans="1:66">
      <c r="A14" s="10" t="s">
        <v>26</v>
      </c>
      <c r="B14" s="46" t="s">
        <v>27</v>
      </c>
      <c r="C14" s="5"/>
      <c r="D14" s="10"/>
      <c r="E14" s="5" t="s">
        <v>147</v>
      </c>
      <c r="F14" s="10">
        <v>4</v>
      </c>
      <c r="G14" s="5" t="s">
        <v>148</v>
      </c>
      <c r="H14" s="10">
        <v>25</v>
      </c>
      <c r="I14" s="5" t="s">
        <v>96</v>
      </c>
      <c r="J14" s="10">
        <v>50</v>
      </c>
      <c r="K14" s="5" t="s">
        <v>149</v>
      </c>
      <c r="L14" s="10">
        <v>12</v>
      </c>
      <c r="M14" s="5"/>
      <c r="N14" s="10"/>
      <c r="O14" s="5"/>
      <c r="P14" s="10"/>
      <c r="Q14" s="5"/>
      <c r="R14" s="10"/>
      <c r="S14" s="5"/>
      <c r="T14" s="10"/>
      <c r="U14" s="5"/>
      <c r="V14" s="10"/>
      <c r="W14" s="5"/>
      <c r="X14" s="10"/>
      <c r="Y14" s="5"/>
      <c r="Z14" s="10"/>
      <c r="AA14" s="5"/>
      <c r="AB14" s="10"/>
      <c r="AC14" s="5"/>
      <c r="AD14" s="10"/>
      <c r="AE14" s="5"/>
      <c r="AF14" s="10"/>
      <c r="AG14" s="5"/>
      <c r="AH14" s="10"/>
      <c r="AI14" s="5"/>
      <c r="AJ14" s="10"/>
      <c r="AK14" s="5"/>
      <c r="AL14" s="10"/>
      <c r="AM14" s="5" t="s">
        <v>150</v>
      </c>
      <c r="AN14" s="10">
        <v>45</v>
      </c>
      <c r="AO14" s="5"/>
      <c r="AP14" s="10"/>
      <c r="AQ14" s="5"/>
      <c r="AR14" s="10"/>
      <c r="AS14" s="5" t="s">
        <v>28</v>
      </c>
      <c r="AT14" s="10">
        <v>8</v>
      </c>
      <c r="AU14" s="5" t="s">
        <v>151</v>
      </c>
      <c r="AV14" s="10">
        <v>5</v>
      </c>
      <c r="AW14" s="5"/>
      <c r="AX14" s="10"/>
      <c r="AY14" s="5"/>
      <c r="AZ14" s="10"/>
      <c r="BA14" s="5" t="s">
        <v>152</v>
      </c>
      <c r="BB14" s="10">
        <v>20</v>
      </c>
      <c r="BC14" s="5" t="s">
        <v>28</v>
      </c>
      <c r="BD14" s="10">
        <v>8</v>
      </c>
      <c r="BE14" s="5" t="s">
        <v>153</v>
      </c>
      <c r="BF14" s="10">
        <v>10.5</v>
      </c>
      <c r="BG14" s="5"/>
      <c r="BH14" s="10"/>
      <c r="BI14" s="10"/>
      <c r="BJ14" s="10"/>
      <c r="BK14" s="10" t="s">
        <v>154</v>
      </c>
      <c r="BL14" s="10">
        <v>13</v>
      </c>
      <c r="BM14" s="7">
        <f t="shared" si="0"/>
        <v>200.5</v>
      </c>
      <c r="BN14" s="5" t="s">
        <v>27</v>
      </c>
    </row>
    <row r="15" s="1" customFormat="1" spans="1:66">
      <c r="A15" s="10" t="s">
        <v>29</v>
      </c>
      <c r="B15" s="46" t="s">
        <v>30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 t="s">
        <v>155</v>
      </c>
      <c r="BD15" s="10">
        <v>517.75</v>
      </c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517.75</v>
      </c>
      <c r="BN15" s="5" t="s">
        <v>31</v>
      </c>
    </row>
    <row r="16" s="1" customFormat="1" spans="1:66">
      <c r="A16" s="10" t="s">
        <v>32</v>
      </c>
      <c r="B16" s="46" t="s">
        <v>33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>
        <v>11.68</v>
      </c>
      <c r="Q16" s="5"/>
      <c r="R16" s="10"/>
      <c r="S16" s="5"/>
      <c r="T16" s="10">
        <v>8.7</v>
      </c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 t="s">
        <v>156</v>
      </c>
      <c r="AH16" s="10">
        <v>19</v>
      </c>
      <c r="AI16" s="5"/>
      <c r="AJ16" s="10">
        <v>6.5</v>
      </c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 t="s">
        <v>157</v>
      </c>
      <c r="BB16" s="10">
        <v>27.8</v>
      </c>
      <c r="BC16" s="5" t="s">
        <v>158</v>
      </c>
      <c r="BD16" s="10">
        <v>32</v>
      </c>
      <c r="BE16" s="5"/>
      <c r="BF16" s="10"/>
      <c r="BG16" s="5"/>
      <c r="BH16" s="10"/>
      <c r="BI16" s="10"/>
      <c r="BJ16" s="10"/>
      <c r="BK16" s="10"/>
      <c r="BL16" s="10"/>
      <c r="BM16" s="7">
        <f t="shared" si="0"/>
        <v>105.68</v>
      </c>
      <c r="BN16" s="5" t="s">
        <v>34</v>
      </c>
    </row>
    <row r="17" s="1" customFormat="1" spans="1:66">
      <c r="A17" s="10" t="s">
        <v>35</v>
      </c>
      <c r="B17" s="46" t="s">
        <v>36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 t="s">
        <v>159</v>
      </c>
      <c r="N17" s="10">
        <v>40</v>
      </c>
      <c r="O17" s="5"/>
      <c r="P17" s="10">
        <v>10</v>
      </c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 t="s">
        <v>160</v>
      </c>
      <c r="BB17" s="10">
        <v>12.8</v>
      </c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62.8</v>
      </c>
      <c r="BN17" s="5" t="s">
        <v>36</v>
      </c>
    </row>
    <row r="18" s="1" customFormat="1" ht="17" spans="1:66">
      <c r="A18" s="11" t="s">
        <v>37</v>
      </c>
      <c r="B18" s="10" t="s">
        <v>38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5"/>
      <c r="BL18" s="10"/>
      <c r="BM18" s="7">
        <f t="shared" si="0"/>
        <v>0</v>
      </c>
      <c r="BN18" s="5" t="s">
        <v>38</v>
      </c>
    </row>
    <row r="19" s="1" customFormat="1" spans="1:66">
      <c r="A19" s="10"/>
      <c r="B19" s="12" t="s">
        <v>40</v>
      </c>
      <c r="C19" s="10">
        <f>SUM(C3:D18)</f>
        <v>209</v>
      </c>
      <c r="D19" s="8"/>
      <c r="E19" s="10">
        <f>SUM(E3:F18)</f>
        <v>209</v>
      </c>
      <c r="F19" s="8"/>
      <c r="G19" s="10">
        <f>SUM(G3:H18)</f>
        <v>158.75</v>
      </c>
      <c r="H19" s="8"/>
      <c r="I19" s="10">
        <f>SUM(I3:J18)</f>
        <v>184.85</v>
      </c>
      <c r="J19" s="8"/>
      <c r="K19" s="10">
        <f>SUM(K3:L18)</f>
        <v>196.23</v>
      </c>
      <c r="L19" s="8"/>
      <c r="M19" s="10">
        <f>SUM(M3:N18)</f>
        <v>62</v>
      </c>
      <c r="N19" s="8"/>
      <c r="O19" s="10">
        <f>SUM(O3:P18)</f>
        <v>214.78</v>
      </c>
      <c r="P19" s="8"/>
      <c r="Q19" s="10">
        <f>SUM(Q3:R18)</f>
        <v>261.5</v>
      </c>
      <c r="R19" s="8"/>
      <c r="S19" s="10">
        <f>SUM(S3:T18)</f>
        <v>107</v>
      </c>
      <c r="T19" s="8"/>
      <c r="U19" s="10">
        <f>SUM(U3:V18)</f>
        <v>78.5</v>
      </c>
      <c r="V19" s="8"/>
      <c r="W19" s="10">
        <f>SUM(W3:X18)</f>
        <v>117.9</v>
      </c>
      <c r="X19" s="8"/>
      <c r="Y19" s="10">
        <f>SUM(Y3:Z18)</f>
        <v>84</v>
      </c>
      <c r="Z19" s="8"/>
      <c r="AA19" s="10">
        <f>SUM(AA3:AB18)</f>
        <v>-99.6</v>
      </c>
      <c r="AB19" s="8"/>
      <c r="AC19" s="10">
        <f>SUM(AC3:AD18)</f>
        <v>94</v>
      </c>
      <c r="AD19" s="8"/>
      <c r="AE19" s="10">
        <f>SUM(AE3:AF18)</f>
        <v>92</v>
      </c>
      <c r="AF19" s="8"/>
      <c r="AG19" s="10">
        <f>SUM(AG3:AH18)</f>
        <v>86</v>
      </c>
      <c r="AH19" s="8"/>
      <c r="AI19" s="10">
        <f>SUM(AI3:AJ18)</f>
        <v>121.5</v>
      </c>
      <c r="AJ19" s="8"/>
      <c r="AK19" s="10">
        <f>SUM(AK3:AL18)</f>
        <v>258</v>
      </c>
      <c r="AL19" s="8"/>
      <c r="AM19" s="10">
        <f>SUM(AM3:AN18)</f>
        <v>313</v>
      </c>
      <c r="AN19" s="8"/>
      <c r="AO19" s="10">
        <f>SUM(AO3:AP18)</f>
        <v>471</v>
      </c>
      <c r="AP19" s="8"/>
      <c r="AQ19" s="10">
        <f>SUM(AQ3:AR18)</f>
        <v>27</v>
      </c>
      <c r="AR19" s="8"/>
      <c r="AS19" s="10">
        <f>SUM(AS3:AT18)</f>
        <v>23</v>
      </c>
      <c r="AT19" s="8"/>
      <c r="AU19" s="10">
        <f>SUM(AU3:AV18)</f>
        <v>85.5</v>
      </c>
      <c r="AV19" s="8"/>
      <c r="AW19" s="10">
        <f>SUM(AW3:AX18)</f>
        <v>49</v>
      </c>
      <c r="AX19" s="8"/>
      <c r="AY19" s="10">
        <f>SUM(AY3:AZ18)</f>
        <v>41.5</v>
      </c>
      <c r="AZ19" s="8"/>
      <c r="BA19" s="10">
        <f>SUM(BA3:BB18)</f>
        <v>115.1</v>
      </c>
      <c r="BB19" s="8"/>
      <c r="BC19" s="10">
        <f>SUM(BC3:BD18)</f>
        <v>596.75</v>
      </c>
      <c r="BD19" s="8"/>
      <c r="BE19" s="10">
        <f>SUM(BE3:BF18)</f>
        <v>306.5</v>
      </c>
      <c r="BF19" s="8"/>
      <c r="BG19" s="10">
        <f>SUM(BG3:BH18)</f>
        <v>-6</v>
      </c>
      <c r="BH19" s="8"/>
      <c r="BI19" s="10">
        <f>SUM(BI3:BJ18)</f>
        <v>131</v>
      </c>
      <c r="BJ19" s="8"/>
      <c r="BK19" s="10">
        <f>SUM(BK3:BL18)</f>
        <v>39.7</v>
      </c>
      <c r="BL19" s="8"/>
      <c r="BM19" s="13">
        <f t="shared" si="0"/>
        <v>4628.46</v>
      </c>
      <c r="BN19" s="12" t="s">
        <v>40</v>
      </c>
    </row>
    <row r="20" s="30" customFormat="1" spans="1:66">
      <c r="A20" s="5" t="s">
        <v>41</v>
      </c>
      <c r="B20" s="14" t="s">
        <v>42</v>
      </c>
      <c r="C20" s="17"/>
      <c r="D20" s="47"/>
      <c r="E20" s="17"/>
      <c r="F20" s="47"/>
      <c r="G20" s="17"/>
      <c r="H20" s="47"/>
      <c r="I20" s="17"/>
      <c r="J20" s="47"/>
      <c r="K20" s="17"/>
      <c r="L20" s="47"/>
      <c r="M20" s="17"/>
      <c r="N20" s="47"/>
      <c r="O20" s="17"/>
      <c r="P20" s="47"/>
      <c r="Q20" s="17"/>
      <c r="R20" s="47"/>
      <c r="S20" s="17"/>
      <c r="T20" s="47"/>
      <c r="U20" s="17"/>
      <c r="V20" s="47"/>
      <c r="Y20" s="17"/>
      <c r="Z20" s="47"/>
      <c r="AA20" s="17"/>
      <c r="AB20" s="47"/>
      <c r="AI20" s="17"/>
      <c r="AJ20" s="47"/>
      <c r="AK20" s="17"/>
      <c r="AL20" s="47"/>
      <c r="AM20" s="17"/>
      <c r="AN20" s="47"/>
      <c r="AO20" s="17"/>
      <c r="AP20" s="47"/>
      <c r="AQ20" s="17"/>
      <c r="AR20" s="47"/>
      <c r="AS20" s="17"/>
      <c r="AT20" s="47"/>
      <c r="AU20" s="17"/>
      <c r="AV20" s="47"/>
      <c r="AW20" s="17"/>
      <c r="AX20" s="47"/>
      <c r="AY20" s="17"/>
      <c r="AZ20" s="47"/>
      <c r="BA20" s="17"/>
      <c r="BB20" s="47"/>
      <c r="BC20" s="17"/>
      <c r="BD20" s="47"/>
      <c r="BE20" s="17"/>
      <c r="BF20" s="47"/>
      <c r="BG20" s="17"/>
      <c r="BH20" s="47"/>
      <c r="BI20" s="47"/>
      <c r="BJ20" s="47"/>
      <c r="BK20" s="47"/>
      <c r="BL20" s="47"/>
      <c r="BM20" s="7">
        <f t="shared" si="0"/>
        <v>0</v>
      </c>
      <c r="BN20" s="14" t="s">
        <v>42</v>
      </c>
    </row>
    <row r="21" s="1" customFormat="1" spans="1:66">
      <c r="A21" s="15"/>
      <c r="B21" s="14" t="s">
        <v>43</v>
      </c>
      <c r="C21" s="48" t="s">
        <v>44</v>
      </c>
      <c r="D21" s="48">
        <v>1600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55"/>
      <c r="X21" s="56"/>
      <c r="Y21" s="48"/>
      <c r="Z21" s="48"/>
      <c r="AA21" s="48"/>
      <c r="AB21" s="48"/>
      <c r="AC21" s="55"/>
      <c r="AD21" s="56"/>
      <c r="AE21" s="55"/>
      <c r="AF21" s="56"/>
      <c r="AG21" s="55"/>
      <c r="AH21" s="56"/>
      <c r="AI21" s="48"/>
      <c r="AJ21" s="48"/>
      <c r="AK21" s="48"/>
      <c r="AL21" s="48"/>
      <c r="AM21" s="48"/>
      <c r="AN21" s="48"/>
      <c r="AO21" s="48" t="s">
        <v>44</v>
      </c>
      <c r="AP21" s="48">
        <v>1000</v>
      </c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13">
        <f t="shared" si="0"/>
        <v>2600</v>
      </c>
      <c r="BN21" s="14" t="s">
        <v>43</v>
      </c>
    </row>
    <row r="22" s="1" customFormat="1" spans="1:66">
      <c r="A22" s="15"/>
      <c r="B22" s="16" t="s">
        <v>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7"/>
      <c r="AP22" s="57"/>
      <c r="AQ22" s="57"/>
      <c r="AR22" s="5"/>
      <c r="AS22" s="5"/>
      <c r="AT22" s="5"/>
      <c r="AU22" s="5"/>
      <c r="AV22" s="5"/>
      <c r="AW22" s="5"/>
      <c r="AX22" s="5"/>
      <c r="AY22" s="48"/>
      <c r="AZ22" s="48"/>
      <c r="BA22" s="5"/>
      <c r="BB22" s="5"/>
      <c r="BC22" s="5"/>
      <c r="BD22" s="59"/>
      <c r="BE22" s="59"/>
      <c r="BF22" s="59"/>
      <c r="BG22" s="59"/>
      <c r="BH22" s="59"/>
      <c r="BI22" s="59"/>
      <c r="BJ22" s="59"/>
      <c r="BK22" s="59"/>
      <c r="BL22" s="59"/>
      <c r="BM22" s="7">
        <f t="shared" si="0"/>
        <v>0</v>
      </c>
      <c r="BN22" s="16" t="s">
        <v>45</v>
      </c>
    </row>
    <row r="23" s="1" customFormat="1" spans="1:66">
      <c r="A23" s="15"/>
      <c r="B23" s="16" t="s">
        <v>46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7"/>
      <c r="AP23" s="57"/>
      <c r="AQ23" s="57"/>
      <c r="AR23" s="5"/>
      <c r="AS23" s="5"/>
      <c r="AT23" s="5"/>
      <c r="AU23" s="5"/>
      <c r="AV23" s="5"/>
      <c r="AW23" s="5"/>
      <c r="AX23" s="5"/>
      <c r="AY23" s="48"/>
      <c r="AZ23" s="48"/>
      <c r="BA23" s="5"/>
      <c r="BB23" s="5"/>
      <c r="BC23" s="5"/>
      <c r="BD23" s="59"/>
      <c r="BE23" s="59"/>
      <c r="BF23" s="59"/>
      <c r="BG23" s="59"/>
      <c r="BH23" s="59"/>
      <c r="BI23" s="59"/>
      <c r="BJ23" s="59"/>
      <c r="BK23" s="59"/>
      <c r="BL23" s="59"/>
      <c r="BM23" s="7">
        <f t="shared" si="0"/>
        <v>0</v>
      </c>
      <c r="BN23" s="16" t="s">
        <v>46</v>
      </c>
    </row>
    <row r="24" s="1" customFormat="1" ht="17.6" spans="1:65">
      <c r="A24" s="15"/>
      <c r="B24"/>
      <c r="C24"/>
      <c r="D24" s="30"/>
      <c r="E24" s="30"/>
      <c r="F24" s="30"/>
      <c r="G24" s="30"/>
      <c r="H24" s="30"/>
      <c r="I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0"/>
      <c r="BE24" s="60"/>
      <c r="BF24" s="60"/>
      <c r="BG24" s="60"/>
      <c r="BH24" s="60"/>
      <c r="BI24" s="60"/>
      <c r="BJ24" s="60"/>
      <c r="BK24" s="60"/>
      <c r="BL24" s="60"/>
      <c r="BM24" s="60"/>
    </row>
    <row r="25" s="1" customFormat="1" ht="17.6" spans="1:65">
      <c r="A25" s="15"/>
      <c r="B25"/>
      <c r="C25"/>
      <c r="D25" s="49"/>
      <c r="E25" s="30"/>
      <c r="F25" s="30"/>
      <c r="G25" s="30"/>
      <c r="H25" s="30"/>
      <c r="I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0"/>
      <c r="BE25" s="60"/>
      <c r="BF25" s="60"/>
      <c r="BG25" s="60"/>
      <c r="BH25" s="60"/>
      <c r="BI25" s="60"/>
      <c r="BJ25" s="60"/>
      <c r="BK25" s="60"/>
      <c r="BL25" s="60"/>
      <c r="BM25" s="60"/>
    </row>
    <row r="26" s="1" customFormat="1" spans="1:65">
      <c r="A26" s="15"/>
      <c r="B26" s="30"/>
      <c r="C26" s="30"/>
      <c r="D26" s="30"/>
      <c r="E26" s="30"/>
      <c r="F26" s="30"/>
      <c r="G26" s="30"/>
      <c r="H26" s="30"/>
      <c r="I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0"/>
      <c r="BE26" s="60"/>
      <c r="BF26" s="60"/>
      <c r="BG26" s="60"/>
      <c r="BH26" s="60"/>
      <c r="BI26" s="60"/>
      <c r="BJ26" s="60"/>
      <c r="BK26" s="60"/>
      <c r="BL26" s="60"/>
      <c r="BM26" s="60"/>
    </row>
    <row r="27" s="1" customFormat="1" spans="1:65">
      <c r="A27" s="1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0"/>
      <c r="C28" s="30"/>
      <c r="D28" s="15"/>
      <c r="E28" s="15"/>
      <c r="F28" s="15"/>
      <c r="G28" s="15"/>
      <c r="H28" s="15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0"/>
      <c r="C29" s="30"/>
      <c r="D29" s="15"/>
      <c r="E29" s="15"/>
      <c r="F29" s="15"/>
      <c r="G29" s="15"/>
      <c r="H29" s="1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0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0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0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0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0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A3:A6"/>
    <mergeCell ref="A7:A13"/>
    <mergeCell ref="BM3:BM6"/>
  </mergeCells>
  <pageMargins left="0.75" right="0.75" top="1" bottom="1" header="0.511805555555556" footer="0.511805555555556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L36"/>
  <sheetViews>
    <sheetView zoomScale="72" zoomScaleNormal="72" workbookViewId="0">
      <selection activeCell="BD12" sqref="BD12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22.9285714285714" style="1" customWidth="1"/>
    <col min="4" max="4" width="7.14285714285714" style="1" customWidth="1"/>
    <col min="5" max="5" width="11.7142857142857" style="1" customWidth="1"/>
    <col min="6" max="6" width="6.21428571428571" style="1" customWidth="1"/>
    <col min="7" max="7" width="12.4285714285714" style="1" customWidth="1"/>
    <col min="8" max="8" width="7.14285714285714" style="1" customWidth="1"/>
    <col min="9" max="9" width="19.1428571428571" style="1" customWidth="1"/>
    <col min="10" max="10" width="7.14285714285714" style="1" customWidth="1"/>
    <col min="11" max="11" width="14.7142857142857" style="1" customWidth="1"/>
    <col min="12" max="12" width="6.21428571428571" style="1" customWidth="1"/>
    <col min="13" max="13" width="7.57142857142857" style="1" customWidth="1"/>
    <col min="14" max="14" width="6.21428571428571" style="1" customWidth="1"/>
    <col min="15" max="15" width="16.2142857142857" style="1" customWidth="1"/>
    <col min="16" max="16" width="6.21428571428571" style="1" customWidth="1"/>
    <col min="17" max="17" width="5.57142857142857" style="1" customWidth="1"/>
    <col min="18" max="18" width="7.14285714285714" style="1" customWidth="1"/>
    <col min="19" max="19" width="5.57142857142857" style="1" customWidth="1"/>
    <col min="20" max="20" width="6.21428571428571" style="1" customWidth="1"/>
    <col min="21" max="21" width="11" style="1" customWidth="1"/>
    <col min="22" max="22" width="7.14285714285714" style="1" customWidth="1"/>
    <col min="23" max="23" width="7.57142857142857" style="1" customWidth="1"/>
    <col min="24" max="24" width="8.07142857142857" style="1" customWidth="1"/>
    <col min="25" max="25" width="5.57142857142857" style="1" customWidth="1"/>
    <col min="26" max="26" width="7.14285714285714" style="1" customWidth="1"/>
    <col min="27" max="27" width="7.57142857142857" style="1" customWidth="1"/>
    <col min="28" max="28" width="7.14285714285714" style="1" customWidth="1"/>
    <col min="29" max="29" width="16.2142857142857" style="1" customWidth="1"/>
    <col min="30" max="30" width="7.14285714285714" style="1" customWidth="1"/>
    <col min="31" max="31" width="9.57142857142857" style="1" customWidth="1"/>
    <col min="32" max="32" width="6.21428571428571" style="1" customWidth="1"/>
    <col min="33" max="33" width="7.57142857142857" style="1" customWidth="1"/>
    <col min="34" max="34" width="7.14285714285714" style="1" customWidth="1"/>
    <col min="35" max="35" width="11" style="1" customWidth="1"/>
    <col min="36" max="36" width="6.21428571428571" style="1" customWidth="1"/>
    <col min="37" max="37" width="11" style="1" customWidth="1"/>
    <col min="38" max="38" width="7.14285714285714" style="1" customWidth="1"/>
    <col min="39" max="39" width="12.4285714285714" style="1" customWidth="1"/>
    <col min="40" max="40" width="7.14285714285714" style="1" customWidth="1"/>
    <col min="41" max="41" width="9.57142857142857" style="1" customWidth="1"/>
    <col min="42" max="42" width="7.14285714285714" style="1" customWidth="1"/>
    <col min="43" max="43" width="7.57142857142857" style="1" customWidth="1"/>
    <col min="44" max="44" width="7.14285714285714" style="1" customWidth="1"/>
    <col min="45" max="45" width="9.57142857142857" style="1" customWidth="1"/>
    <col min="46" max="46" width="7.14285714285714" style="1" customWidth="1"/>
    <col min="47" max="47" width="3.57142857142857" style="1" customWidth="1"/>
    <col min="48" max="48" width="6.21428571428571" style="1" customWidth="1"/>
    <col min="49" max="49" width="5.57142857142857" style="1" customWidth="1"/>
    <col min="50" max="50" width="6.21428571428571" style="1" customWidth="1"/>
    <col min="51" max="51" width="14.0714285714286" style="1" customWidth="1"/>
    <col min="52" max="52" width="6.21428571428571" style="1" customWidth="1"/>
    <col min="53" max="53" width="5.57142857142857" style="1" customWidth="1"/>
    <col min="54" max="54" width="6.21428571428571" style="1" customWidth="1"/>
    <col min="55" max="55" width="15.4285714285714" style="1" customWidth="1"/>
    <col min="56" max="56" width="6.21428571428571" style="1" customWidth="1"/>
    <col min="57" max="57" width="11" style="1" customWidth="1"/>
    <col min="58" max="58" width="6.21428571428571" style="1" customWidth="1"/>
    <col min="59" max="59" width="11" style="1" customWidth="1"/>
    <col min="60" max="60" width="7.14285714285714" style="1" customWidth="1"/>
    <col min="61" max="61" width="9.57142857142857" style="1" customWidth="1"/>
    <col min="62" max="62" width="6.21428571428571" style="1" customWidth="1"/>
    <col min="63" max="63" width="7.57142857142857" style="1" customWidth="1"/>
    <col min="64" max="64" width="14" style="1" customWidth="1"/>
    <col min="65" max="14411" width="8.24107142857143" style="1"/>
    <col min="14412" max="16384" width="9.11607142857143" style="1"/>
  </cols>
  <sheetData>
    <row r="1" s="1" customFormat="1" spans="3:58">
      <c r="C1" s="31"/>
      <c r="D1" s="31"/>
      <c r="E1" s="31"/>
      <c r="F1" s="31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28"/>
      <c r="T1" s="28"/>
      <c r="U1" s="28"/>
      <c r="V1" s="28"/>
      <c r="W1" s="28"/>
      <c r="X1" s="28"/>
      <c r="Y1" s="28"/>
      <c r="Z1" s="28"/>
      <c r="AK1" s="16"/>
      <c r="AL1" s="16"/>
      <c r="BA1" s="58"/>
      <c r="BB1" s="58"/>
      <c r="BE1" s="61"/>
      <c r="BF1" s="61"/>
    </row>
    <row r="2" s="1" customFormat="1" spans="1:64">
      <c r="A2" s="32"/>
      <c r="B2" s="33" t="s">
        <v>1</v>
      </c>
      <c r="C2" s="34">
        <v>44348</v>
      </c>
      <c r="D2" s="3"/>
      <c r="E2" s="34">
        <v>44349</v>
      </c>
      <c r="F2" s="3"/>
      <c r="G2" s="34">
        <v>44350</v>
      </c>
      <c r="H2" s="3"/>
      <c r="I2" s="34">
        <v>44351</v>
      </c>
      <c r="J2" s="3"/>
      <c r="K2" s="34">
        <v>44352</v>
      </c>
      <c r="L2" s="3"/>
      <c r="M2" s="34">
        <v>44353</v>
      </c>
      <c r="N2" s="3"/>
      <c r="O2" s="34">
        <v>44354</v>
      </c>
      <c r="P2" s="3"/>
      <c r="Q2" s="34">
        <v>44355</v>
      </c>
      <c r="R2" s="3"/>
      <c r="S2" s="34">
        <v>44356</v>
      </c>
      <c r="T2" s="3"/>
      <c r="U2" s="34">
        <v>44357</v>
      </c>
      <c r="V2" s="3"/>
      <c r="W2" s="34">
        <v>44358</v>
      </c>
      <c r="X2" s="3"/>
      <c r="Y2" s="34">
        <v>44359</v>
      </c>
      <c r="Z2" s="3"/>
      <c r="AA2" s="34">
        <v>44360</v>
      </c>
      <c r="AB2" s="3"/>
      <c r="AC2" s="34">
        <v>44361</v>
      </c>
      <c r="AD2" s="3"/>
      <c r="AE2" s="34">
        <v>44362</v>
      </c>
      <c r="AF2" s="3"/>
      <c r="AG2" s="34">
        <v>44363</v>
      </c>
      <c r="AH2" s="3"/>
      <c r="AI2" s="34">
        <v>44364</v>
      </c>
      <c r="AJ2" s="3"/>
      <c r="AK2" s="34">
        <v>44365</v>
      </c>
      <c r="AL2" s="3"/>
      <c r="AM2" s="34">
        <v>44366</v>
      </c>
      <c r="AN2" s="3"/>
      <c r="AO2" s="34">
        <v>44367</v>
      </c>
      <c r="AP2" s="3"/>
      <c r="AQ2" s="34">
        <v>44368</v>
      </c>
      <c r="AR2" s="3"/>
      <c r="AS2" s="34">
        <v>44369</v>
      </c>
      <c r="AT2" s="3"/>
      <c r="AU2" s="34">
        <v>44370</v>
      </c>
      <c r="AV2" s="3"/>
      <c r="AW2" s="34">
        <v>44371</v>
      </c>
      <c r="AX2" s="3"/>
      <c r="AY2" s="34">
        <v>44372</v>
      </c>
      <c r="AZ2" s="3"/>
      <c r="BA2" s="34">
        <v>44373</v>
      </c>
      <c r="BB2" s="3"/>
      <c r="BC2" s="34">
        <v>44374</v>
      </c>
      <c r="BD2" s="3"/>
      <c r="BE2" s="34">
        <v>44375</v>
      </c>
      <c r="BF2" s="3"/>
      <c r="BG2" s="34">
        <v>44376</v>
      </c>
      <c r="BH2" s="3"/>
      <c r="BI2" s="34">
        <v>44377</v>
      </c>
      <c r="BJ2" s="3"/>
      <c r="BK2" s="34" t="s">
        <v>2</v>
      </c>
      <c r="BL2" s="2" t="s">
        <v>1</v>
      </c>
    </row>
    <row r="3" s="1" customFormat="1" spans="1:64">
      <c r="A3" s="35" t="s">
        <v>3</v>
      </c>
      <c r="B3" s="36" t="s">
        <v>4</v>
      </c>
      <c r="C3" s="35"/>
      <c r="D3" s="37"/>
      <c r="E3" s="51"/>
      <c r="F3" s="52"/>
      <c r="G3" s="15"/>
      <c r="H3" s="37"/>
      <c r="I3" s="35"/>
      <c r="J3" s="37">
        <v>48.68</v>
      </c>
      <c r="K3" s="35"/>
      <c r="L3" s="37"/>
      <c r="M3" s="35"/>
      <c r="N3" s="37"/>
      <c r="O3" s="35"/>
      <c r="P3" s="37"/>
      <c r="Q3" s="35"/>
      <c r="R3" s="37"/>
      <c r="S3" s="35"/>
      <c r="T3" s="37"/>
      <c r="U3" s="15"/>
      <c r="V3" s="37">
        <v>7</v>
      </c>
      <c r="W3" s="35"/>
      <c r="X3" s="37"/>
      <c r="Y3" s="35"/>
      <c r="Z3" s="15"/>
      <c r="AA3" s="35"/>
      <c r="AB3" s="15"/>
      <c r="AC3" s="35"/>
      <c r="AD3" s="15">
        <v>30</v>
      </c>
      <c r="AE3" s="35"/>
      <c r="AF3" s="15">
        <v>5.8</v>
      </c>
      <c r="AG3" s="35"/>
      <c r="AH3" s="15"/>
      <c r="AI3" s="35"/>
      <c r="AJ3" s="15">
        <v>23</v>
      </c>
      <c r="AK3" s="35"/>
      <c r="AL3" s="15"/>
      <c r="AM3" s="35"/>
      <c r="AN3" s="15">
        <v>10</v>
      </c>
      <c r="AO3" s="35"/>
      <c r="AP3" s="15">
        <v>10</v>
      </c>
      <c r="AQ3" s="35"/>
      <c r="AR3" s="15">
        <v>10</v>
      </c>
      <c r="AS3" s="35"/>
      <c r="AT3" s="15"/>
      <c r="AU3" s="35"/>
      <c r="AV3" s="37"/>
      <c r="AW3" s="15"/>
      <c r="AX3" s="37"/>
      <c r="AY3" s="35"/>
      <c r="AZ3" s="37">
        <v>6.5</v>
      </c>
      <c r="BA3" s="35"/>
      <c r="BB3" s="37"/>
      <c r="BC3" s="35"/>
      <c r="BD3" s="37"/>
      <c r="BE3" s="35"/>
      <c r="BF3" s="62"/>
      <c r="BG3" s="35"/>
      <c r="BH3" s="37">
        <v>5.2</v>
      </c>
      <c r="BI3" s="35"/>
      <c r="BJ3" s="37"/>
      <c r="BK3" s="7">
        <f>SUM(C3:BJ6)</f>
        <v>2583.68</v>
      </c>
      <c r="BL3" s="29" t="s">
        <v>4</v>
      </c>
    </row>
    <row r="4" s="1" customFormat="1" spans="1:64">
      <c r="A4" s="35"/>
      <c r="B4" s="36" t="s">
        <v>5</v>
      </c>
      <c r="C4" s="35"/>
      <c r="D4" s="37">
        <v>18</v>
      </c>
      <c r="E4" s="15"/>
      <c r="F4" s="37">
        <v>11</v>
      </c>
      <c r="G4" s="15"/>
      <c r="H4" s="37">
        <v>18</v>
      </c>
      <c r="I4" s="35"/>
      <c r="J4" s="37">
        <v>30</v>
      </c>
      <c r="K4" s="35"/>
      <c r="L4" s="37">
        <v>85</v>
      </c>
      <c r="M4" s="35"/>
      <c r="N4" s="37">
        <v>25</v>
      </c>
      <c r="O4" s="35"/>
      <c r="P4" s="37">
        <v>11.5</v>
      </c>
      <c r="Q4" s="35"/>
      <c r="R4" s="37">
        <v>13</v>
      </c>
      <c r="S4" s="35"/>
      <c r="T4" s="37">
        <v>8</v>
      </c>
      <c r="U4" s="15"/>
      <c r="V4" s="37">
        <v>15</v>
      </c>
      <c r="W4" s="35"/>
      <c r="X4" s="37">
        <v>36</v>
      </c>
      <c r="Y4" s="35"/>
      <c r="Z4" s="15">
        <v>12</v>
      </c>
      <c r="AA4" s="35"/>
      <c r="AB4" s="15">
        <v>22</v>
      </c>
      <c r="AC4" s="35"/>
      <c r="AD4" s="15">
        <v>92</v>
      </c>
      <c r="AE4" s="35"/>
      <c r="AF4" s="15">
        <v>11</v>
      </c>
      <c r="AG4" s="35"/>
      <c r="AH4" s="15">
        <v>12</v>
      </c>
      <c r="AI4" s="35"/>
      <c r="AJ4" s="15"/>
      <c r="AK4" s="35"/>
      <c r="AL4" s="15">
        <v>16.8</v>
      </c>
      <c r="AM4" s="35"/>
      <c r="AN4" s="15">
        <v>20</v>
      </c>
      <c r="AO4" s="35"/>
      <c r="AP4" s="15">
        <v>12</v>
      </c>
      <c r="AQ4" s="35"/>
      <c r="AR4" s="15">
        <v>18</v>
      </c>
      <c r="AS4" s="35"/>
      <c r="AT4" s="15"/>
      <c r="AU4" s="35"/>
      <c r="AV4" s="37">
        <v>22</v>
      </c>
      <c r="AW4" s="15"/>
      <c r="AX4" s="37">
        <v>14.5</v>
      </c>
      <c r="AY4" s="35"/>
      <c r="AZ4" s="37">
        <v>23.5</v>
      </c>
      <c r="BA4" s="35"/>
      <c r="BB4" s="37">
        <v>14.5</v>
      </c>
      <c r="BC4" s="35"/>
      <c r="BD4" s="37">
        <v>14</v>
      </c>
      <c r="BE4" s="35"/>
      <c r="BF4" s="62">
        <v>15</v>
      </c>
      <c r="BG4" s="35"/>
      <c r="BH4" s="37">
        <v>14.5</v>
      </c>
      <c r="BI4" s="35"/>
      <c r="BJ4" s="37">
        <v>10</v>
      </c>
      <c r="BK4" s="7"/>
      <c r="BL4" s="29" t="s">
        <v>5</v>
      </c>
    </row>
    <row r="5" s="1" customFormat="1" spans="1:64">
      <c r="A5" s="35"/>
      <c r="B5" s="36" t="s">
        <v>6</v>
      </c>
      <c r="C5" s="35" t="s">
        <v>161</v>
      </c>
      <c r="D5" s="15">
        <v>227</v>
      </c>
      <c r="E5" s="35"/>
      <c r="F5" s="15">
        <v>55</v>
      </c>
      <c r="G5" s="35"/>
      <c r="H5" s="15">
        <v>13</v>
      </c>
      <c r="I5" s="35" t="s">
        <v>162</v>
      </c>
      <c r="J5" s="37">
        <v>164</v>
      </c>
      <c r="K5" s="35"/>
      <c r="L5" s="37">
        <v>29</v>
      </c>
      <c r="M5" s="35"/>
      <c r="N5" s="37">
        <v>18</v>
      </c>
      <c r="O5" s="35"/>
      <c r="P5" s="37">
        <v>16</v>
      </c>
      <c r="Q5" s="35"/>
      <c r="R5" s="37">
        <v>98</v>
      </c>
      <c r="S5" s="35"/>
      <c r="T5" s="37">
        <v>13</v>
      </c>
      <c r="U5" s="15"/>
      <c r="V5" s="37">
        <v>5.9</v>
      </c>
      <c r="W5" s="35"/>
      <c r="X5" s="37">
        <v>32.5</v>
      </c>
      <c r="Y5" s="35"/>
      <c r="Z5" s="15">
        <v>13</v>
      </c>
      <c r="AA5" s="35"/>
      <c r="AB5" s="15">
        <v>44.9</v>
      </c>
      <c r="AC5" s="35"/>
      <c r="AD5" s="15">
        <v>60</v>
      </c>
      <c r="AE5" s="35"/>
      <c r="AF5" s="15">
        <v>30</v>
      </c>
      <c r="AG5" s="35"/>
      <c r="AH5" s="15">
        <v>15.5</v>
      </c>
      <c r="AI5" s="35"/>
      <c r="AJ5" s="15">
        <v>13</v>
      </c>
      <c r="AK5" s="35"/>
      <c r="AL5" s="15">
        <v>52.8</v>
      </c>
      <c r="AM5" s="35"/>
      <c r="AN5" s="15"/>
      <c r="AO5" s="35"/>
      <c r="AP5" s="15">
        <v>8.8</v>
      </c>
      <c r="AQ5" s="35"/>
      <c r="AR5" s="15">
        <v>76</v>
      </c>
      <c r="AS5" s="35"/>
      <c r="AT5" s="15">
        <v>20</v>
      </c>
      <c r="AU5" s="35"/>
      <c r="AV5" s="37">
        <v>33</v>
      </c>
      <c r="AW5" s="15"/>
      <c r="AX5" s="37">
        <v>10</v>
      </c>
      <c r="AY5" s="35"/>
      <c r="AZ5" s="37">
        <v>24</v>
      </c>
      <c r="BA5" s="35"/>
      <c r="BB5" s="37">
        <v>14</v>
      </c>
      <c r="BC5" s="35"/>
      <c r="BD5" s="37">
        <v>14</v>
      </c>
      <c r="BE5" s="35"/>
      <c r="BF5" s="62">
        <v>16</v>
      </c>
      <c r="BG5" s="35"/>
      <c r="BH5" s="37">
        <v>71</v>
      </c>
      <c r="BI5" s="35"/>
      <c r="BJ5" s="37">
        <v>20</v>
      </c>
      <c r="BK5" s="7"/>
      <c r="BL5" s="29" t="s">
        <v>6</v>
      </c>
    </row>
    <row r="6" s="1" customFormat="1" spans="1:64">
      <c r="A6" s="38"/>
      <c r="B6" s="39" t="s">
        <v>8</v>
      </c>
      <c r="C6" s="38"/>
      <c r="D6" s="40"/>
      <c r="E6" s="38"/>
      <c r="F6" s="40"/>
      <c r="G6" s="38"/>
      <c r="H6" s="40">
        <v>29</v>
      </c>
      <c r="I6" s="38"/>
      <c r="J6" s="53"/>
      <c r="K6" s="38"/>
      <c r="L6" s="53"/>
      <c r="M6" s="38" t="s">
        <v>129</v>
      </c>
      <c r="N6" s="53">
        <v>32</v>
      </c>
      <c r="O6" s="38" t="s">
        <v>163</v>
      </c>
      <c r="P6" s="53">
        <f>52+27</f>
        <v>79</v>
      </c>
      <c r="Q6" s="38"/>
      <c r="R6" s="53"/>
      <c r="S6" s="38"/>
      <c r="T6" s="53"/>
      <c r="U6" s="40" t="s">
        <v>164</v>
      </c>
      <c r="V6" s="53">
        <v>25</v>
      </c>
      <c r="W6" s="38" t="s">
        <v>78</v>
      </c>
      <c r="X6" s="53">
        <v>34.8</v>
      </c>
      <c r="Y6" s="38"/>
      <c r="Z6" s="40"/>
      <c r="AA6" s="38"/>
      <c r="AB6" s="40">
        <v>128.3</v>
      </c>
      <c r="AC6" s="38"/>
      <c r="AD6" s="40"/>
      <c r="AE6" s="38"/>
      <c r="AF6" s="40"/>
      <c r="AG6" s="38"/>
      <c r="AH6" s="40">
        <v>10.8</v>
      </c>
      <c r="AI6" s="38" t="s">
        <v>165</v>
      </c>
      <c r="AJ6" s="40">
        <f>33.4+12</f>
        <v>45.4</v>
      </c>
      <c r="AK6" s="38" t="s">
        <v>166</v>
      </c>
      <c r="AL6" s="40">
        <f>16+21</f>
        <v>37</v>
      </c>
      <c r="AM6" s="38"/>
      <c r="AN6" s="40"/>
      <c r="AO6" s="38" t="s">
        <v>167</v>
      </c>
      <c r="AP6" s="40">
        <v>36</v>
      </c>
      <c r="AQ6" s="38"/>
      <c r="AR6" s="40">
        <v>12</v>
      </c>
      <c r="AS6" s="38" t="s">
        <v>167</v>
      </c>
      <c r="AT6" s="40">
        <v>37</v>
      </c>
      <c r="AU6" s="38"/>
      <c r="AV6" s="53">
        <v>4</v>
      </c>
      <c r="AW6" s="40"/>
      <c r="AX6" s="53">
        <v>5</v>
      </c>
      <c r="AY6" s="38"/>
      <c r="AZ6" s="53">
        <v>8</v>
      </c>
      <c r="BA6" s="38"/>
      <c r="BB6" s="53">
        <v>7.5</v>
      </c>
      <c r="BC6" s="38"/>
      <c r="BD6" s="53"/>
      <c r="BE6" s="38" t="s">
        <v>168</v>
      </c>
      <c r="BF6" s="63">
        <f>14+17</f>
        <v>31</v>
      </c>
      <c r="BG6" s="38" t="s">
        <v>165</v>
      </c>
      <c r="BH6" s="53">
        <f>14+30</f>
        <v>44</v>
      </c>
      <c r="BI6" s="38"/>
      <c r="BJ6" s="53"/>
      <c r="BK6" s="7"/>
      <c r="BL6" s="5" t="s">
        <v>8</v>
      </c>
    </row>
    <row r="7" s="1" customFormat="1" spans="1:64">
      <c r="A7" s="41" t="s">
        <v>11</v>
      </c>
      <c r="B7" s="42" t="s">
        <v>12</v>
      </c>
      <c r="C7" s="35"/>
      <c r="D7" s="37">
        <v>15</v>
      </c>
      <c r="E7" s="51"/>
      <c r="F7" s="51"/>
      <c r="G7" s="41"/>
      <c r="H7" s="52"/>
      <c r="I7" s="51"/>
      <c r="J7" s="52"/>
      <c r="K7" s="51"/>
      <c r="L7" s="52">
        <v>12.47</v>
      </c>
      <c r="M7" s="51"/>
      <c r="N7" s="37"/>
      <c r="O7" s="51"/>
      <c r="P7" s="52"/>
      <c r="Q7" s="51"/>
      <c r="R7" s="52"/>
      <c r="S7" s="51"/>
      <c r="T7" s="37"/>
      <c r="U7" s="51"/>
      <c r="V7" s="52"/>
      <c r="W7" s="41"/>
      <c r="X7" s="52">
        <v>5.5</v>
      </c>
      <c r="Y7" s="41"/>
      <c r="Z7" s="51"/>
      <c r="AA7" s="41"/>
      <c r="AB7" s="51">
        <v>31.81</v>
      </c>
      <c r="AC7" s="41"/>
      <c r="AD7" s="51"/>
      <c r="AE7" s="41"/>
      <c r="AF7" s="51"/>
      <c r="AG7" s="41"/>
      <c r="AH7" s="51"/>
      <c r="AI7" s="41"/>
      <c r="AJ7" s="51"/>
      <c r="AK7" s="41"/>
      <c r="AL7" s="51">
        <v>17.6</v>
      </c>
      <c r="AM7" s="41"/>
      <c r="AN7" s="51">
        <v>20.5</v>
      </c>
      <c r="AO7" s="41"/>
      <c r="AP7" s="51">
        <v>50</v>
      </c>
      <c r="AQ7" s="41"/>
      <c r="AR7" s="51"/>
      <c r="AS7" s="41"/>
      <c r="AT7" s="51"/>
      <c r="AU7" s="41"/>
      <c r="AV7" s="52"/>
      <c r="AW7" s="51"/>
      <c r="AX7" s="52">
        <v>7.5</v>
      </c>
      <c r="AY7" s="41"/>
      <c r="AZ7" s="52">
        <v>10</v>
      </c>
      <c r="BA7" s="41"/>
      <c r="BB7" s="52">
        <v>20</v>
      </c>
      <c r="BC7" s="41"/>
      <c r="BD7" s="52"/>
      <c r="BE7" s="41"/>
      <c r="BF7" s="52"/>
      <c r="BG7" s="41"/>
      <c r="BH7" s="52"/>
      <c r="BI7" s="41"/>
      <c r="BJ7" s="52"/>
      <c r="BK7" s="7">
        <f>SUM(C7:BJ7)</f>
        <v>190.38</v>
      </c>
      <c r="BL7" s="5" t="s">
        <v>12</v>
      </c>
    </row>
    <row r="8" s="1" customFormat="1" spans="1:64">
      <c r="A8" s="35"/>
      <c r="B8" s="42" t="s">
        <v>13</v>
      </c>
      <c r="C8" s="35"/>
      <c r="D8" s="37"/>
      <c r="E8" s="15"/>
      <c r="F8" s="15"/>
      <c r="G8" s="35"/>
      <c r="H8" s="37"/>
      <c r="I8" s="15"/>
      <c r="J8" s="37"/>
      <c r="K8" s="15"/>
      <c r="L8" s="37"/>
      <c r="M8" s="15"/>
      <c r="N8" s="37"/>
      <c r="O8" s="15"/>
      <c r="P8" s="37"/>
      <c r="Q8" s="15"/>
      <c r="R8" s="37"/>
      <c r="S8" s="54"/>
      <c r="T8" s="37"/>
      <c r="U8" s="15"/>
      <c r="V8" s="37"/>
      <c r="W8" s="35"/>
      <c r="X8" s="37"/>
      <c r="Y8" s="35"/>
      <c r="Z8" s="15"/>
      <c r="AA8" s="35"/>
      <c r="AB8" s="15"/>
      <c r="AC8" s="35"/>
      <c r="AD8" s="15"/>
      <c r="AE8" s="35"/>
      <c r="AF8" s="15"/>
      <c r="AG8" s="35"/>
      <c r="AH8" s="15"/>
      <c r="AI8" s="35"/>
      <c r="AJ8" s="15"/>
      <c r="AK8" s="35"/>
      <c r="AL8" s="15"/>
      <c r="AM8" s="35"/>
      <c r="AN8" s="15"/>
      <c r="AO8" s="35"/>
      <c r="AP8" s="15"/>
      <c r="AQ8" s="35"/>
      <c r="AR8" s="15"/>
      <c r="AS8" s="35"/>
      <c r="AT8" s="15"/>
      <c r="AU8" s="35"/>
      <c r="AV8" s="37"/>
      <c r="AW8" s="15"/>
      <c r="AX8" s="37"/>
      <c r="AY8" s="35"/>
      <c r="AZ8" s="37"/>
      <c r="BA8" s="35"/>
      <c r="BB8" s="37"/>
      <c r="BC8" s="35"/>
      <c r="BD8" s="37"/>
      <c r="BE8" s="35"/>
      <c r="BF8" s="37"/>
      <c r="BG8" s="35"/>
      <c r="BH8" s="37"/>
      <c r="BI8" s="35"/>
      <c r="BJ8" s="37"/>
      <c r="BK8" s="7">
        <f>SUM(C8:BJ8)</f>
        <v>0</v>
      </c>
      <c r="BL8" s="5" t="s">
        <v>13</v>
      </c>
    </row>
    <row r="9" s="1" customFormat="1" spans="1:64">
      <c r="A9" s="35"/>
      <c r="B9" s="42" t="s">
        <v>56</v>
      </c>
      <c r="C9" s="35" t="s">
        <v>169</v>
      </c>
      <c r="D9" s="37">
        <v>69</v>
      </c>
      <c r="E9" s="15"/>
      <c r="F9" s="15"/>
      <c r="G9" s="35"/>
      <c r="H9" s="37"/>
      <c r="I9" s="15"/>
      <c r="J9" s="37">
        <v>9.7</v>
      </c>
      <c r="K9" s="15"/>
      <c r="L9" s="37"/>
      <c r="M9" s="15"/>
      <c r="N9" s="37"/>
      <c r="O9" s="15"/>
      <c r="P9" s="37">
        <v>35</v>
      </c>
      <c r="Q9" s="15"/>
      <c r="R9" s="37"/>
      <c r="S9" s="54"/>
      <c r="T9" s="37"/>
      <c r="U9" s="15"/>
      <c r="V9" s="37"/>
      <c r="W9" s="35"/>
      <c r="X9" s="37"/>
      <c r="Y9" s="35"/>
      <c r="Z9" s="15"/>
      <c r="AA9" s="35"/>
      <c r="AB9" s="15">
        <v>-335</v>
      </c>
      <c r="AC9" s="35" t="s">
        <v>170</v>
      </c>
      <c r="AD9" s="15">
        <f>388.08+159</f>
        <v>547.08</v>
      </c>
      <c r="AE9" s="35"/>
      <c r="AF9" s="15"/>
      <c r="AG9" s="35"/>
      <c r="AH9" s="15"/>
      <c r="AI9" s="35"/>
      <c r="AJ9" s="15"/>
      <c r="AK9" s="35"/>
      <c r="AL9" s="15"/>
      <c r="AM9" s="35" t="s">
        <v>171</v>
      </c>
      <c r="AN9" s="15">
        <v>100</v>
      </c>
      <c r="AO9" s="35"/>
      <c r="AP9" s="15"/>
      <c r="AQ9" s="35"/>
      <c r="AR9" s="15">
        <v>-150</v>
      </c>
      <c r="AS9" s="35"/>
      <c r="AT9" s="15"/>
      <c r="AU9" s="35"/>
      <c r="AV9" s="37"/>
      <c r="AW9" s="15"/>
      <c r="AX9" s="37"/>
      <c r="AY9" s="35"/>
      <c r="AZ9" s="37"/>
      <c r="BA9" s="35"/>
      <c r="BB9" s="37"/>
      <c r="BC9" s="35"/>
      <c r="BD9" s="37"/>
      <c r="BE9" s="35"/>
      <c r="BF9" s="37"/>
      <c r="BG9" s="35"/>
      <c r="BH9" s="37"/>
      <c r="BI9" s="35"/>
      <c r="BJ9" s="37"/>
      <c r="BK9" s="7">
        <f>SUM(C9:BJ9)</f>
        <v>275.78</v>
      </c>
      <c r="BL9" s="5" t="s">
        <v>56</v>
      </c>
    </row>
    <row r="10" s="1" customFormat="1" spans="1:64">
      <c r="A10" s="35"/>
      <c r="B10" s="44" t="s">
        <v>18</v>
      </c>
      <c r="C10" s="35"/>
      <c r="D10" s="37"/>
      <c r="E10" s="15"/>
      <c r="F10" s="15"/>
      <c r="G10" s="35"/>
      <c r="H10" s="37"/>
      <c r="I10" s="15"/>
      <c r="J10" s="37"/>
      <c r="K10" s="15" t="s">
        <v>172</v>
      </c>
      <c r="L10" s="37">
        <v>85</v>
      </c>
      <c r="M10" s="15"/>
      <c r="N10" s="37"/>
      <c r="O10" s="15"/>
      <c r="P10" s="37"/>
      <c r="Q10" s="15"/>
      <c r="R10" s="37"/>
      <c r="S10" s="35"/>
      <c r="T10" s="37"/>
      <c r="U10" s="15"/>
      <c r="V10" s="37"/>
      <c r="W10" s="35"/>
      <c r="X10" s="37"/>
      <c r="Y10" s="35"/>
      <c r="Z10" s="15"/>
      <c r="AA10" s="35"/>
      <c r="AB10" s="15"/>
      <c r="AC10" s="35"/>
      <c r="AD10" s="15"/>
      <c r="AE10" s="35"/>
      <c r="AF10" s="15"/>
      <c r="AG10" s="35"/>
      <c r="AH10" s="15"/>
      <c r="AI10" s="35"/>
      <c r="AJ10" s="15"/>
      <c r="AK10" s="35"/>
      <c r="AL10" s="15"/>
      <c r="AM10" s="35"/>
      <c r="AN10" s="15"/>
      <c r="AO10" s="35"/>
      <c r="AP10" s="15"/>
      <c r="AQ10" s="35"/>
      <c r="AR10" s="15"/>
      <c r="AS10" s="35"/>
      <c r="AT10" s="15"/>
      <c r="AU10" s="35"/>
      <c r="AV10" s="37"/>
      <c r="AW10" s="15"/>
      <c r="AX10" s="37"/>
      <c r="AY10" s="35"/>
      <c r="AZ10" s="37"/>
      <c r="BA10" s="35"/>
      <c r="BB10" s="37"/>
      <c r="BC10" s="35"/>
      <c r="BD10" s="37"/>
      <c r="BE10" s="35"/>
      <c r="BF10" s="37"/>
      <c r="BG10" s="35"/>
      <c r="BH10" s="37"/>
      <c r="BI10" s="35"/>
      <c r="BJ10" s="37"/>
      <c r="BK10" s="7">
        <f t="shared" ref="BK10:BK23" si="0">SUM(C10:BJ10)</f>
        <v>85</v>
      </c>
      <c r="BL10" s="5" t="s">
        <v>18</v>
      </c>
    </row>
    <row r="11" s="1" customFormat="1" spans="1:64">
      <c r="A11" s="35"/>
      <c r="B11" s="45" t="s">
        <v>20</v>
      </c>
      <c r="C11" s="35"/>
      <c r="D11" s="37"/>
      <c r="E11" s="15"/>
      <c r="F11" s="15"/>
      <c r="G11" s="35"/>
      <c r="H11" s="37"/>
      <c r="I11" s="15"/>
      <c r="J11" s="15"/>
      <c r="K11" s="35"/>
      <c r="L11" s="37"/>
      <c r="M11" s="35"/>
      <c r="N11" s="37"/>
      <c r="O11" s="35"/>
      <c r="P11" s="37"/>
      <c r="Q11" s="35"/>
      <c r="R11" s="37"/>
      <c r="S11" s="35"/>
      <c r="T11" s="37"/>
      <c r="U11" s="15"/>
      <c r="V11" s="37"/>
      <c r="W11" s="35"/>
      <c r="X11" s="37"/>
      <c r="Y11" s="35"/>
      <c r="Z11" s="15"/>
      <c r="AA11" s="35"/>
      <c r="AB11" s="15"/>
      <c r="AC11" s="35"/>
      <c r="AD11" s="15"/>
      <c r="AE11" s="35"/>
      <c r="AF11" s="15"/>
      <c r="AG11" s="35"/>
      <c r="AH11" s="15"/>
      <c r="AI11" s="35"/>
      <c r="AJ11" s="15"/>
      <c r="AK11" s="35"/>
      <c r="AL11" s="15"/>
      <c r="AM11" s="35"/>
      <c r="AN11" s="15"/>
      <c r="AO11" s="35"/>
      <c r="AP11" s="15"/>
      <c r="AQ11" s="35"/>
      <c r="AR11" s="15"/>
      <c r="AS11" s="35"/>
      <c r="AT11" s="15"/>
      <c r="AU11" s="35"/>
      <c r="AV11" s="37"/>
      <c r="AW11" s="15"/>
      <c r="AX11" s="37"/>
      <c r="AY11" s="35"/>
      <c r="AZ11" s="37"/>
      <c r="BA11" s="35"/>
      <c r="BB11" s="37"/>
      <c r="BC11" s="35"/>
      <c r="BD11" s="37"/>
      <c r="BE11" s="35"/>
      <c r="BF11" s="37"/>
      <c r="BG11" s="35"/>
      <c r="BH11" s="37"/>
      <c r="BI11" s="35"/>
      <c r="BJ11" s="37"/>
      <c r="BK11" s="7">
        <f t="shared" si="0"/>
        <v>0</v>
      </c>
      <c r="BL11" s="5" t="s">
        <v>20</v>
      </c>
    </row>
    <row r="12" s="1" customFormat="1" spans="1:64">
      <c r="A12" s="35"/>
      <c r="B12" s="45" t="s">
        <v>22</v>
      </c>
      <c r="C12" s="35"/>
      <c r="D12" s="15"/>
      <c r="E12" s="35"/>
      <c r="F12" s="37"/>
      <c r="G12" s="35"/>
      <c r="H12" s="37"/>
      <c r="I12" s="35"/>
      <c r="J12" s="37"/>
      <c r="K12" s="35"/>
      <c r="L12" s="37"/>
      <c r="M12" s="35"/>
      <c r="N12" s="37"/>
      <c r="O12" s="35"/>
      <c r="P12" s="37"/>
      <c r="Q12" s="35"/>
      <c r="R12" s="37"/>
      <c r="S12" s="35"/>
      <c r="T12" s="37"/>
      <c r="U12" s="15"/>
      <c r="V12" s="37"/>
      <c r="W12" s="35" t="s">
        <v>173</v>
      </c>
      <c r="X12" s="37">
        <v>19.9</v>
      </c>
      <c r="Y12" s="35" t="s">
        <v>173</v>
      </c>
      <c r="Z12" s="15">
        <v>20</v>
      </c>
      <c r="AA12" s="35" t="s">
        <v>174</v>
      </c>
      <c r="AB12" s="15">
        <v>120</v>
      </c>
      <c r="AC12" s="35"/>
      <c r="AD12" s="15"/>
      <c r="AE12" s="35" t="s">
        <v>175</v>
      </c>
      <c r="AF12" s="15">
        <v>40</v>
      </c>
      <c r="AG12" s="35"/>
      <c r="AH12" s="15"/>
      <c r="AI12" s="35"/>
      <c r="AJ12" s="15"/>
      <c r="AK12" s="35" t="s">
        <v>176</v>
      </c>
      <c r="AL12" s="15">
        <v>268</v>
      </c>
      <c r="AM12" s="35"/>
      <c r="AN12" s="15"/>
      <c r="AO12" s="35"/>
      <c r="AP12" s="15"/>
      <c r="AQ12" s="35"/>
      <c r="AR12" s="15"/>
      <c r="AS12" s="35"/>
      <c r="AT12" s="15"/>
      <c r="AU12" s="35"/>
      <c r="AV12" s="37"/>
      <c r="AW12" s="15"/>
      <c r="AX12" s="37"/>
      <c r="AY12" s="35"/>
      <c r="AZ12" s="37"/>
      <c r="BA12" s="35"/>
      <c r="BB12" s="37"/>
      <c r="BC12" s="35"/>
      <c r="BD12" s="37"/>
      <c r="BE12" s="35"/>
      <c r="BF12" s="37"/>
      <c r="BG12" s="35"/>
      <c r="BH12" s="37"/>
      <c r="BI12" s="35"/>
      <c r="BJ12" s="37"/>
      <c r="BK12" s="7">
        <f t="shared" si="0"/>
        <v>467.9</v>
      </c>
      <c r="BL12" s="5" t="s">
        <v>22</v>
      </c>
    </row>
    <row r="13" s="1" customFormat="1" spans="1:64">
      <c r="A13" s="35"/>
      <c r="B13" s="45" t="s">
        <v>25</v>
      </c>
      <c r="C13" s="35"/>
      <c r="D13" s="15"/>
      <c r="E13" s="35"/>
      <c r="F13" s="37"/>
      <c r="G13" s="35"/>
      <c r="H13" s="37">
        <v>147</v>
      </c>
      <c r="I13" s="35"/>
      <c r="J13" s="37"/>
      <c r="K13" s="35"/>
      <c r="L13" s="37"/>
      <c r="M13" s="35"/>
      <c r="N13" s="37"/>
      <c r="O13" s="35"/>
      <c r="P13" s="37"/>
      <c r="Q13" s="35"/>
      <c r="R13" s="37">
        <v>161</v>
      </c>
      <c r="S13" s="35"/>
      <c r="T13" s="37"/>
      <c r="U13" s="15"/>
      <c r="V13" s="37"/>
      <c r="W13" s="35"/>
      <c r="X13" s="37"/>
      <c r="Y13" s="35"/>
      <c r="Z13" s="15"/>
      <c r="AA13" s="35" t="s">
        <v>177</v>
      </c>
      <c r="AB13" s="15">
        <v>313</v>
      </c>
      <c r="AC13" s="35"/>
      <c r="AD13" s="15"/>
      <c r="AE13" s="35"/>
      <c r="AF13" s="15"/>
      <c r="AG13" s="35" t="s">
        <v>177</v>
      </c>
      <c r="AH13" s="15">
        <v>118</v>
      </c>
      <c r="AI13" s="35"/>
      <c r="AJ13" s="15"/>
      <c r="AK13" s="35"/>
      <c r="AL13" s="15"/>
      <c r="AM13" s="35"/>
      <c r="AN13" s="15"/>
      <c r="AO13" s="35"/>
      <c r="AP13" s="15"/>
      <c r="AQ13" s="35"/>
      <c r="AR13" s="15">
        <v>176</v>
      </c>
      <c r="AS13" s="35"/>
      <c r="AT13" s="15"/>
      <c r="AU13" s="35"/>
      <c r="AV13" s="37"/>
      <c r="AW13" s="15"/>
      <c r="AX13" s="37"/>
      <c r="AY13" s="35"/>
      <c r="AZ13" s="37"/>
      <c r="BA13" s="35"/>
      <c r="BB13" s="37"/>
      <c r="BC13" s="35"/>
      <c r="BD13" s="37"/>
      <c r="BE13" s="35"/>
      <c r="BF13" s="37"/>
      <c r="BG13" s="35"/>
      <c r="BH13" s="37"/>
      <c r="BI13" s="35"/>
      <c r="BJ13" s="37"/>
      <c r="BK13" s="7">
        <f t="shared" si="0"/>
        <v>915</v>
      </c>
      <c r="BL13" s="5" t="s">
        <v>25</v>
      </c>
    </row>
    <row r="14" s="1" customFormat="1" spans="1:64">
      <c r="A14" s="10" t="s">
        <v>26</v>
      </c>
      <c r="B14" s="46" t="s">
        <v>27</v>
      </c>
      <c r="C14" s="5"/>
      <c r="D14" s="10"/>
      <c r="E14" s="5"/>
      <c r="F14" s="10"/>
      <c r="G14" s="5"/>
      <c r="H14" s="10"/>
      <c r="I14" s="5"/>
      <c r="J14" s="10"/>
      <c r="K14" s="5" t="s">
        <v>69</v>
      </c>
      <c r="L14" s="10">
        <v>25</v>
      </c>
      <c r="M14" s="5"/>
      <c r="N14" s="10"/>
      <c r="O14" s="5"/>
      <c r="P14" s="10"/>
      <c r="Q14" s="5"/>
      <c r="R14" s="10"/>
      <c r="S14" s="5"/>
      <c r="T14" s="10"/>
      <c r="U14" s="5" t="s">
        <v>178</v>
      </c>
      <c r="V14" s="10">
        <v>6</v>
      </c>
      <c r="W14" s="5"/>
      <c r="X14" s="10"/>
      <c r="Y14" s="5"/>
      <c r="Z14" s="10"/>
      <c r="AA14" s="5" t="s">
        <v>179</v>
      </c>
      <c r="AB14" s="10">
        <v>30</v>
      </c>
      <c r="AC14" s="5"/>
      <c r="AD14" s="10"/>
      <c r="AE14" s="5"/>
      <c r="AF14" s="10"/>
      <c r="AG14" s="5" t="s">
        <v>180</v>
      </c>
      <c r="AH14" s="10">
        <v>100</v>
      </c>
      <c r="AI14" s="5"/>
      <c r="AJ14" s="10"/>
      <c r="AK14" s="5"/>
      <c r="AL14" s="10"/>
      <c r="AM14" s="5" t="s">
        <v>96</v>
      </c>
      <c r="AN14" s="10">
        <v>30</v>
      </c>
      <c r="AO14" s="5"/>
      <c r="AP14" s="10"/>
      <c r="AQ14" s="5"/>
      <c r="AR14" s="10"/>
      <c r="AS14" s="5"/>
      <c r="AT14" s="10"/>
      <c r="AU14" s="5"/>
      <c r="AV14" s="10"/>
      <c r="AW14" s="5"/>
      <c r="AX14" s="10"/>
      <c r="AY14" s="5"/>
      <c r="AZ14" s="10"/>
      <c r="BA14" s="5"/>
      <c r="BB14" s="10"/>
      <c r="BC14" s="5"/>
      <c r="BD14" s="10"/>
      <c r="BE14" s="5"/>
      <c r="BF14" s="10"/>
      <c r="BG14" s="5"/>
      <c r="BH14" s="10"/>
      <c r="BI14" s="10"/>
      <c r="BJ14" s="10"/>
      <c r="BK14" s="7">
        <f t="shared" si="0"/>
        <v>191</v>
      </c>
      <c r="BL14" s="5" t="s">
        <v>27</v>
      </c>
    </row>
    <row r="15" s="1" customFormat="1" spans="1:64">
      <c r="A15" s="10" t="s">
        <v>29</v>
      </c>
      <c r="B15" s="46" t="s">
        <v>30</v>
      </c>
      <c r="C15" s="5" t="s">
        <v>181</v>
      </c>
      <c r="D15" s="10">
        <v>768</v>
      </c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>
        <v>7.28</v>
      </c>
      <c r="BC15" s="5"/>
      <c r="BD15" s="10"/>
      <c r="BE15" s="5"/>
      <c r="BF15" s="10"/>
      <c r="BG15" s="5"/>
      <c r="BH15" s="10"/>
      <c r="BI15" s="10" t="s">
        <v>182</v>
      </c>
      <c r="BJ15" s="10">
        <v>78</v>
      </c>
      <c r="BK15" s="7">
        <f t="shared" si="0"/>
        <v>853.28</v>
      </c>
      <c r="BL15" s="5" t="s">
        <v>31</v>
      </c>
    </row>
    <row r="16" s="1" customFormat="1" spans="1:64">
      <c r="A16" s="10" t="s">
        <v>32</v>
      </c>
      <c r="B16" s="46" t="s">
        <v>33</v>
      </c>
      <c r="C16" s="5"/>
      <c r="D16" s="10"/>
      <c r="E16" s="5" t="s">
        <v>183</v>
      </c>
      <c r="F16" s="10">
        <v>16</v>
      </c>
      <c r="G16" s="5"/>
      <c r="H16" s="10"/>
      <c r="I16" s="5"/>
      <c r="J16" s="10"/>
      <c r="K16" s="5"/>
      <c r="L16" s="10"/>
      <c r="M16" s="5" t="s">
        <v>184</v>
      </c>
      <c r="N16" s="10">
        <f>4.72+4.32</f>
        <v>9.04</v>
      </c>
      <c r="O16" s="5"/>
      <c r="P16" s="10"/>
      <c r="Q16" s="5"/>
      <c r="R16" s="10"/>
      <c r="S16" s="5"/>
      <c r="T16" s="10"/>
      <c r="U16" s="5"/>
      <c r="V16" s="10"/>
      <c r="W16" s="5" t="s">
        <v>185</v>
      </c>
      <c r="X16" s="10">
        <v>36</v>
      </c>
      <c r="Y16" s="5" t="s">
        <v>186</v>
      </c>
      <c r="Z16" s="10">
        <v>125</v>
      </c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 t="s">
        <v>187</v>
      </c>
      <c r="AL16" s="10">
        <v>20</v>
      </c>
      <c r="AM16" s="5"/>
      <c r="AN16" s="10"/>
      <c r="AO16" s="5"/>
      <c r="AP16" s="10"/>
      <c r="AQ16" s="5" t="s">
        <v>188</v>
      </c>
      <c r="AR16" s="10">
        <v>25</v>
      </c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 t="s">
        <v>189</v>
      </c>
      <c r="BJ16" s="10">
        <v>26</v>
      </c>
      <c r="BK16" s="7">
        <f t="shared" si="0"/>
        <v>257.04</v>
      </c>
      <c r="BL16" s="5" t="s">
        <v>34</v>
      </c>
    </row>
    <row r="17" s="1" customFormat="1" spans="1:64">
      <c r="A17" s="10" t="s">
        <v>35</v>
      </c>
      <c r="B17" s="46" t="s">
        <v>36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 t="s">
        <v>190</v>
      </c>
      <c r="V17" s="10">
        <v>300</v>
      </c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>
        <v>10</v>
      </c>
      <c r="BA17" s="5"/>
      <c r="BB17" s="10"/>
      <c r="BC17" s="5"/>
      <c r="BD17" s="10"/>
      <c r="BE17" s="5" t="s">
        <v>191</v>
      </c>
      <c r="BF17" s="10">
        <v>15</v>
      </c>
      <c r="BG17" s="5"/>
      <c r="BH17" s="10"/>
      <c r="BI17" s="5"/>
      <c r="BJ17" s="10"/>
      <c r="BK17" s="7">
        <f t="shared" si="0"/>
        <v>325</v>
      </c>
      <c r="BL17" s="5" t="s">
        <v>36</v>
      </c>
    </row>
    <row r="18" s="1" customFormat="1" ht="17" spans="1:64">
      <c r="A18" s="11" t="s">
        <v>37</v>
      </c>
      <c r="B18" s="10" t="s">
        <v>38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 t="s">
        <v>192</v>
      </c>
      <c r="AZ18" s="10">
        <v>80</v>
      </c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7">
        <f t="shared" si="0"/>
        <v>80</v>
      </c>
      <c r="BL18" s="5" t="s">
        <v>38</v>
      </c>
    </row>
    <row r="19" s="1" customFormat="1" spans="1:64">
      <c r="A19" s="10"/>
      <c r="B19" s="12" t="s">
        <v>40</v>
      </c>
      <c r="C19" s="10">
        <f>SUM(C3:D18)</f>
        <v>1097</v>
      </c>
      <c r="D19" s="8"/>
      <c r="E19" s="10">
        <f>SUM(E3:F18)</f>
        <v>82</v>
      </c>
      <c r="F19" s="8"/>
      <c r="G19" s="10">
        <f>SUM(G3:H18)</f>
        <v>207</v>
      </c>
      <c r="H19" s="8"/>
      <c r="I19" s="10">
        <f>SUM(I3:J18)</f>
        <v>252.38</v>
      </c>
      <c r="J19" s="8"/>
      <c r="K19" s="10">
        <f>SUM(K3:L18)</f>
        <v>236.47</v>
      </c>
      <c r="L19" s="8"/>
      <c r="M19" s="10">
        <f>SUM(M3:N18)</f>
        <v>84.04</v>
      </c>
      <c r="N19" s="8"/>
      <c r="O19" s="10">
        <f>SUM(O3:P18)</f>
        <v>141.5</v>
      </c>
      <c r="P19" s="8"/>
      <c r="Q19" s="10">
        <f>SUM(Q3:R18)</f>
        <v>272</v>
      </c>
      <c r="R19" s="8"/>
      <c r="S19" s="10">
        <f>SUM(S3:T18)</f>
        <v>21</v>
      </c>
      <c r="T19" s="8"/>
      <c r="U19" s="10">
        <f>SUM(U3:V18)</f>
        <v>358.9</v>
      </c>
      <c r="V19" s="8"/>
      <c r="W19" s="10">
        <f>SUM(W3:X18)</f>
        <v>164.7</v>
      </c>
      <c r="X19" s="8"/>
      <c r="Y19" s="10">
        <f>SUM(Y3:Z18)</f>
        <v>170</v>
      </c>
      <c r="Z19" s="8"/>
      <c r="AA19" s="10">
        <f>SUM(AA3:AB18)</f>
        <v>355.01</v>
      </c>
      <c r="AB19" s="8"/>
      <c r="AC19" s="10">
        <f>SUM(AC3:AD18)</f>
        <v>729.08</v>
      </c>
      <c r="AD19" s="8"/>
      <c r="AE19" s="10">
        <f>SUM(AE3:AF18)</f>
        <v>86.8</v>
      </c>
      <c r="AF19" s="8"/>
      <c r="AG19" s="10">
        <f>SUM(AG3:AH18)</f>
        <v>256.3</v>
      </c>
      <c r="AH19" s="8"/>
      <c r="AI19" s="10">
        <f>SUM(AI3:AJ18)</f>
        <v>81.4</v>
      </c>
      <c r="AJ19" s="8"/>
      <c r="AK19" s="10">
        <f>SUM(AK3:AL18)</f>
        <v>412.2</v>
      </c>
      <c r="AL19" s="8"/>
      <c r="AM19" s="10">
        <f>SUM(AM3:AN18)</f>
        <v>180.5</v>
      </c>
      <c r="AN19" s="8"/>
      <c r="AO19" s="10">
        <f>SUM(AO3:AP18)</f>
        <v>116.8</v>
      </c>
      <c r="AP19" s="8"/>
      <c r="AQ19" s="10">
        <f>SUM(AQ3:AR18)</f>
        <v>167</v>
      </c>
      <c r="AR19" s="8"/>
      <c r="AS19" s="10">
        <f>SUM(AS3:AT18)</f>
        <v>57</v>
      </c>
      <c r="AT19" s="8"/>
      <c r="AU19" s="10">
        <f>SUM(AU3:AV18)</f>
        <v>59</v>
      </c>
      <c r="AV19" s="8"/>
      <c r="AW19" s="10">
        <f>SUM(AW3:AX18)</f>
        <v>37</v>
      </c>
      <c r="AX19" s="8"/>
      <c r="AY19" s="10">
        <f>SUM(AY3:AZ18)</f>
        <v>162</v>
      </c>
      <c r="AZ19" s="8"/>
      <c r="BA19" s="10">
        <f>SUM(BA3:BB18)</f>
        <v>63.28</v>
      </c>
      <c r="BB19" s="8"/>
      <c r="BC19" s="10">
        <f>SUM(BC3:BD18)</f>
        <v>28</v>
      </c>
      <c r="BD19" s="8"/>
      <c r="BE19" s="10">
        <f>SUM(BE3:BF18)</f>
        <v>77</v>
      </c>
      <c r="BF19" s="8"/>
      <c r="BG19" s="10">
        <f>SUM(BG3:BH18)</f>
        <v>134.7</v>
      </c>
      <c r="BH19" s="8"/>
      <c r="BI19" s="10">
        <f>SUM(BI3:BJ18)</f>
        <v>134</v>
      </c>
      <c r="BJ19" s="8"/>
      <c r="BK19" s="13">
        <f t="shared" si="0"/>
        <v>6224.06</v>
      </c>
      <c r="BL19" s="12" t="s">
        <v>40</v>
      </c>
    </row>
    <row r="20" s="30" customFormat="1" spans="1:64">
      <c r="A20" s="5" t="s">
        <v>41</v>
      </c>
      <c r="B20" s="14" t="s">
        <v>42</v>
      </c>
      <c r="C20" s="17"/>
      <c r="D20" s="47"/>
      <c r="E20" s="17"/>
      <c r="F20" s="47"/>
      <c r="G20" s="17"/>
      <c r="H20" s="47"/>
      <c r="I20" s="17"/>
      <c r="J20" s="47"/>
      <c r="K20" s="17"/>
      <c r="L20" s="47"/>
      <c r="M20" s="17"/>
      <c r="N20" s="47"/>
      <c r="O20" s="17"/>
      <c r="P20" s="47"/>
      <c r="Q20" s="17"/>
      <c r="R20" s="47"/>
      <c r="S20" s="17"/>
      <c r="T20" s="47"/>
      <c r="U20" s="17"/>
      <c r="V20" s="47"/>
      <c r="Y20" s="17"/>
      <c r="Z20" s="47"/>
      <c r="AA20" s="17"/>
      <c r="AB20" s="47"/>
      <c r="AI20" s="17"/>
      <c r="AJ20" s="47"/>
      <c r="AK20" s="17"/>
      <c r="AL20" s="47"/>
      <c r="AM20" s="17" t="s">
        <v>193</v>
      </c>
      <c r="AN20" s="47">
        <v>150</v>
      </c>
      <c r="AO20" s="17" t="s">
        <v>193</v>
      </c>
      <c r="AP20" s="47">
        <v>150</v>
      </c>
      <c r="AQ20" s="17"/>
      <c r="AR20" s="47"/>
      <c r="AS20" s="5" t="s">
        <v>193</v>
      </c>
      <c r="AT20" s="5">
        <v>150</v>
      </c>
      <c r="AU20" s="17"/>
      <c r="AV20" s="47"/>
      <c r="AW20" s="17"/>
      <c r="AX20" s="47"/>
      <c r="AY20" s="17"/>
      <c r="AZ20" s="47"/>
      <c r="BA20" s="17"/>
      <c r="BB20" s="47"/>
      <c r="BC20" s="17"/>
      <c r="BD20" s="47"/>
      <c r="BE20" s="17"/>
      <c r="BF20" s="47"/>
      <c r="BG20" s="17"/>
      <c r="BH20" s="47"/>
      <c r="BI20" s="47"/>
      <c r="BJ20" s="47"/>
      <c r="BK20" s="7">
        <f t="shared" si="0"/>
        <v>450</v>
      </c>
      <c r="BL20" s="14" t="s">
        <v>42</v>
      </c>
    </row>
    <row r="21" s="1" customFormat="1" spans="1:64">
      <c r="A21" s="15"/>
      <c r="B21" s="14" t="s">
        <v>43</v>
      </c>
      <c r="C21" s="48" t="s">
        <v>44</v>
      </c>
      <c r="D21" s="48">
        <v>2000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55" t="s">
        <v>194</v>
      </c>
      <c r="X21" s="56">
        <f>600+1000</f>
        <v>1600</v>
      </c>
      <c r="Y21" s="48"/>
      <c r="Z21" s="48"/>
      <c r="AA21" s="48"/>
      <c r="AB21" s="48"/>
      <c r="AC21" s="55"/>
      <c r="AD21" s="56"/>
      <c r="AE21" s="55"/>
      <c r="AF21" s="56"/>
      <c r="AG21" s="55"/>
      <c r="AH21" s="56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 t="s">
        <v>44</v>
      </c>
      <c r="BH21" s="48">
        <v>200</v>
      </c>
      <c r="BI21" s="48"/>
      <c r="BJ21" s="48"/>
      <c r="BK21" s="13">
        <f t="shared" si="0"/>
        <v>3800</v>
      </c>
      <c r="BL21" s="14" t="s">
        <v>43</v>
      </c>
    </row>
    <row r="22" s="1" customFormat="1" spans="1:64">
      <c r="A22" s="15"/>
      <c r="B22" s="16" t="s">
        <v>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7"/>
      <c r="AP22" s="57"/>
      <c r="AQ22" s="57"/>
      <c r="AR22" s="5"/>
      <c r="AS22" s="5"/>
      <c r="AT22" s="5"/>
      <c r="AU22" s="5"/>
      <c r="AV22" s="5"/>
      <c r="AW22" s="5"/>
      <c r="AX22" s="5"/>
      <c r="AY22" s="48"/>
      <c r="AZ22" s="48"/>
      <c r="BA22" s="5"/>
      <c r="BB22" s="5"/>
      <c r="BC22" s="5"/>
      <c r="BD22" s="59"/>
      <c r="BE22" s="59"/>
      <c r="BF22" s="59"/>
      <c r="BG22" s="59"/>
      <c r="BH22" s="59"/>
      <c r="BI22" s="59"/>
      <c r="BJ22" s="59"/>
      <c r="BK22" s="7">
        <f t="shared" si="0"/>
        <v>0</v>
      </c>
      <c r="BL22" s="16" t="s">
        <v>45</v>
      </c>
    </row>
    <row r="23" s="30" customFormat="1" spans="1:64">
      <c r="A23" s="15"/>
      <c r="B23" s="16" t="s">
        <v>46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16"/>
      <c r="AP23" s="16"/>
      <c r="AQ23" s="16"/>
      <c r="AR23" s="5"/>
      <c r="AS23" s="5"/>
      <c r="AT23" s="5"/>
      <c r="AU23" s="5"/>
      <c r="AV23" s="5"/>
      <c r="AW23" s="5"/>
      <c r="AX23" s="5"/>
      <c r="AY23" s="48"/>
      <c r="AZ23" s="48"/>
      <c r="BA23" s="5"/>
      <c r="BB23" s="5"/>
      <c r="BC23" s="5"/>
      <c r="BD23" s="17"/>
      <c r="BE23" s="17"/>
      <c r="BF23" s="17"/>
      <c r="BG23" s="17"/>
      <c r="BH23" s="17"/>
      <c r="BI23" s="17"/>
      <c r="BJ23" s="17"/>
      <c r="BK23" s="7">
        <f t="shared" si="0"/>
        <v>0</v>
      </c>
      <c r="BL23" s="16" t="s">
        <v>46</v>
      </c>
    </row>
    <row r="24" s="1" customFormat="1" ht="17.6" spans="1:63">
      <c r="A24" s="15"/>
      <c r="B24"/>
      <c r="C24"/>
      <c r="D24" s="30"/>
      <c r="E24" s="30"/>
      <c r="F24" s="30"/>
      <c r="G24" s="30"/>
      <c r="H24" s="30"/>
      <c r="I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0"/>
      <c r="BE24" s="60"/>
      <c r="BF24" s="60"/>
      <c r="BG24" s="60"/>
      <c r="BH24" s="60"/>
      <c r="BI24" s="60"/>
      <c r="BJ24" s="60"/>
      <c r="BK24" s="60"/>
    </row>
    <row r="25" s="1" customFormat="1" ht="17.6" spans="1:63">
      <c r="A25" s="15"/>
      <c r="B25"/>
      <c r="C25"/>
      <c r="D25" s="49"/>
      <c r="E25" s="30"/>
      <c r="F25" s="30"/>
      <c r="G25" s="30"/>
      <c r="H25" s="30"/>
      <c r="I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0"/>
      <c r="BE25" s="60"/>
      <c r="BF25" s="60"/>
      <c r="BG25" s="60"/>
      <c r="BH25" s="60"/>
      <c r="BI25" s="60"/>
      <c r="BJ25" s="60"/>
      <c r="BK25" s="60"/>
    </row>
    <row r="26" s="1" customFormat="1" spans="1:63">
      <c r="A26" s="15"/>
      <c r="B26" s="30"/>
      <c r="C26" s="30"/>
      <c r="D26" s="30"/>
      <c r="E26" s="30"/>
      <c r="F26" s="30"/>
      <c r="G26" s="30"/>
      <c r="H26" s="30"/>
      <c r="I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0"/>
      <c r="BE26" s="60"/>
      <c r="BF26" s="60"/>
      <c r="BG26" s="60"/>
      <c r="BH26" s="60"/>
      <c r="BI26" s="60"/>
      <c r="BJ26" s="60"/>
      <c r="BK26" s="60"/>
    </row>
    <row r="27" s="1" customFormat="1" spans="1:63">
      <c r="A27" s="1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="1" customFormat="1" spans="1:63">
      <c r="A28" s="15"/>
      <c r="B28" s="30"/>
      <c r="C28" s="30"/>
      <c r="D28" s="15"/>
      <c r="E28" s="15"/>
      <c r="F28" s="15"/>
      <c r="G28" s="15"/>
      <c r="H28" s="15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="1" customFormat="1" spans="1:63">
      <c r="A29" s="15"/>
      <c r="B29" s="30"/>
      <c r="C29" s="30"/>
      <c r="D29" s="15"/>
      <c r="E29" s="15"/>
      <c r="F29" s="15"/>
      <c r="G29" s="15"/>
      <c r="H29" s="1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="1" customFormat="1" spans="1:63">
      <c r="A30" s="15"/>
      <c r="B30" s="15"/>
      <c r="C30" s="15"/>
      <c r="D30" s="15"/>
      <c r="E30" s="15"/>
      <c r="F30" s="15"/>
      <c r="G30" s="15"/>
      <c r="H30" s="1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1" s="1" customFormat="1" spans="1:63">
      <c r="A31" s="15"/>
      <c r="D31" s="15"/>
      <c r="E31" s="15"/>
      <c r="F31" s="15"/>
      <c r="G31" s="15"/>
      <c r="H31" s="1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</row>
    <row r="32" s="1" customFormat="1" spans="1:64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30"/>
    </row>
    <row r="33" s="1" customFormat="1" spans="1:64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30"/>
    </row>
    <row r="34" s="1" customFormat="1" spans="1:64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30"/>
    </row>
    <row r="35" s="1" customFormat="1" spans="1:64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30"/>
    </row>
    <row r="36" s="1" customFormat="1" spans="1:64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</row>
  </sheetData>
  <mergeCells count="68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A3:A6"/>
    <mergeCell ref="A7:A13"/>
    <mergeCell ref="BK3:BK6"/>
  </mergeCells>
  <pageMargins left="0.75" right="0.75" top="1" bottom="1" header="0.511805555555556" footer="0.511805555555556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zoomScale="84" zoomScaleNormal="84" topLeftCell="AW1" workbookViewId="0">
      <selection activeCell="AY12" sqref="AY12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9.57142857142857" style="1" customWidth="1"/>
    <col min="4" max="4" width="8.07142857142857" style="1" customWidth="1"/>
    <col min="5" max="5" width="13.2857142857143" style="1" customWidth="1"/>
    <col min="6" max="6" width="7.14285714285714" style="1" customWidth="1"/>
    <col min="7" max="7" width="11.7142857142857" style="1" customWidth="1"/>
    <col min="8" max="8" width="6.21428571428571" style="1" customWidth="1"/>
    <col min="9" max="9" width="10.2142857142857" style="1" customWidth="1"/>
    <col min="10" max="10" width="6.21428571428571" style="1" customWidth="1"/>
    <col min="11" max="11" width="13.2857142857143" style="1" customWidth="1"/>
    <col min="12" max="12" width="6.21428571428571" style="1" customWidth="1"/>
    <col min="13" max="13" width="19.1428571428571" style="1" customWidth="1"/>
    <col min="14" max="14" width="7.14285714285714" style="1" customWidth="1"/>
    <col min="15" max="15" width="11.7142857142857" style="1" customWidth="1"/>
    <col min="16" max="16" width="7.14285714285714" style="1" customWidth="1"/>
    <col min="17" max="17" width="12.4285714285714" style="1" customWidth="1"/>
    <col min="18" max="18" width="8.07142857142857" style="1" customWidth="1"/>
    <col min="19" max="19" width="5.57142857142857" style="1" customWidth="1"/>
    <col min="20" max="20" width="6.21428571428571" style="1" customWidth="1"/>
    <col min="21" max="21" width="11" style="1" customWidth="1"/>
    <col min="22" max="22" width="6.21428571428571" style="1" customWidth="1"/>
    <col min="23" max="23" width="9.57142857142857" style="1" customWidth="1"/>
    <col min="24" max="24" width="6.21428571428571" style="1" customWidth="1"/>
    <col min="25" max="25" width="11" style="1" customWidth="1"/>
    <col min="26" max="26" width="8.07142857142857" style="1" customWidth="1"/>
    <col min="27" max="27" width="7.57142857142857" style="1" customWidth="1"/>
    <col min="28" max="28" width="6.21428571428571" style="1" customWidth="1"/>
    <col min="29" max="29" width="14" style="1" customWidth="1"/>
    <col min="30" max="30" width="6.21428571428571" style="1" customWidth="1"/>
    <col min="31" max="31" width="9.57142857142857" style="1" customWidth="1"/>
    <col min="32" max="32" width="6.21428571428571" style="1" customWidth="1"/>
    <col min="33" max="33" width="7.57142857142857" style="1" customWidth="1"/>
    <col min="34" max="34" width="6.21428571428571" style="1" customWidth="1"/>
    <col min="35" max="35" width="3.57142857142857" style="1" customWidth="1"/>
    <col min="36" max="36" width="6.21428571428571" style="1" customWidth="1"/>
    <col min="37" max="37" width="7.57142857142857" style="1" customWidth="1"/>
    <col min="38" max="38" width="6.21428571428571" style="1" customWidth="1"/>
    <col min="39" max="39" width="5.57142857142857" style="1" customWidth="1"/>
    <col min="40" max="40" width="6.21428571428571" style="1" customWidth="1"/>
    <col min="41" max="41" width="5.57142857142857" style="1" customWidth="1"/>
    <col min="42" max="42" width="6.21428571428571" style="1" customWidth="1"/>
    <col min="43" max="43" width="11.7142857142857" style="1" customWidth="1"/>
    <col min="44" max="44" width="7.14285714285714" style="1" customWidth="1"/>
    <col min="45" max="45" width="15.5714285714286" style="1" customWidth="1"/>
    <col min="46" max="46" width="6.21428571428571" style="1" customWidth="1"/>
    <col min="47" max="47" width="11.7142857142857" style="1" customWidth="1"/>
    <col min="48" max="48" width="7.14285714285714" style="1" customWidth="1"/>
    <col min="49" max="49" width="5.57142857142857" style="1" customWidth="1"/>
    <col min="50" max="50" width="6.21428571428571" style="1" customWidth="1"/>
    <col min="51" max="51" width="14.0714285714286" style="1" customWidth="1"/>
    <col min="52" max="52" width="6.21428571428571" style="1" customWidth="1"/>
    <col min="53" max="53" width="9.57142857142857" style="1" customWidth="1"/>
    <col min="54" max="54" width="8.07142857142857" style="1" customWidth="1"/>
    <col min="55" max="55" width="5.57142857142857" style="1" customWidth="1"/>
    <col min="56" max="56" width="6.21428571428571" style="1" customWidth="1"/>
    <col min="57" max="57" width="5.57142857142857" style="1" customWidth="1"/>
    <col min="58" max="58" width="6.21428571428571" style="1" customWidth="1"/>
    <col min="59" max="59" width="7.57142857142857" style="1" customWidth="1"/>
    <col min="60" max="60" width="7.14285714285714" style="1" customWidth="1"/>
    <col min="61" max="61" width="12.5714285714286" style="1" customWidth="1"/>
    <col min="62" max="62" width="7.14285714285714" style="1" customWidth="1"/>
    <col min="63" max="63" width="7.57142857142857" style="1" customWidth="1"/>
    <col min="64" max="64" width="7.14285714285714" style="1" customWidth="1"/>
    <col min="65" max="65" width="7.57142857142857" style="1" customWidth="1"/>
    <col min="66" max="66" width="14" style="1" customWidth="1"/>
    <col min="67" max="14413" width="8.24107142857143" style="1"/>
    <col min="14414" max="16384" width="9.11607142857143" style="1"/>
  </cols>
  <sheetData>
    <row r="1" s="1" customFormat="1" spans="3:58">
      <c r="C1" s="31"/>
      <c r="D1" s="31"/>
      <c r="E1" s="31"/>
      <c r="F1" s="31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28"/>
      <c r="T1" s="28"/>
      <c r="U1" s="28"/>
      <c r="V1" s="28"/>
      <c r="W1" s="28"/>
      <c r="X1" s="28"/>
      <c r="Y1" s="28"/>
      <c r="Z1" s="28"/>
      <c r="AK1" s="16"/>
      <c r="AL1" s="16"/>
      <c r="BA1" s="58"/>
      <c r="BB1" s="58"/>
      <c r="BE1" s="61"/>
      <c r="BF1" s="61"/>
    </row>
    <row r="2" s="1" customFormat="1" spans="1:66">
      <c r="A2" s="32"/>
      <c r="B2" s="33" t="s">
        <v>1</v>
      </c>
      <c r="C2" s="34">
        <v>44378</v>
      </c>
      <c r="D2" s="3"/>
      <c r="E2" s="34">
        <v>44379</v>
      </c>
      <c r="F2" s="3"/>
      <c r="G2" s="34">
        <v>44380</v>
      </c>
      <c r="H2" s="3"/>
      <c r="I2" s="34">
        <v>44381</v>
      </c>
      <c r="J2" s="3"/>
      <c r="K2" s="34">
        <v>44382</v>
      </c>
      <c r="L2" s="3"/>
      <c r="M2" s="34">
        <v>44383</v>
      </c>
      <c r="N2" s="3"/>
      <c r="O2" s="34">
        <v>44384</v>
      </c>
      <c r="P2" s="3"/>
      <c r="Q2" s="34">
        <v>44385</v>
      </c>
      <c r="R2" s="3"/>
      <c r="S2" s="34">
        <v>44386</v>
      </c>
      <c r="T2" s="3"/>
      <c r="U2" s="34">
        <v>44387</v>
      </c>
      <c r="V2" s="3"/>
      <c r="W2" s="34">
        <v>44388</v>
      </c>
      <c r="X2" s="3"/>
      <c r="Y2" s="34">
        <v>44389</v>
      </c>
      <c r="Z2" s="3"/>
      <c r="AA2" s="34">
        <v>44390</v>
      </c>
      <c r="AB2" s="3"/>
      <c r="AC2" s="34">
        <v>44391</v>
      </c>
      <c r="AD2" s="3"/>
      <c r="AE2" s="34">
        <v>44392</v>
      </c>
      <c r="AF2" s="3"/>
      <c r="AG2" s="34">
        <v>44393</v>
      </c>
      <c r="AH2" s="3"/>
      <c r="AI2" s="34">
        <v>44394</v>
      </c>
      <c r="AJ2" s="3"/>
      <c r="AK2" s="34">
        <v>44395</v>
      </c>
      <c r="AL2" s="3"/>
      <c r="AM2" s="34">
        <v>44396</v>
      </c>
      <c r="AN2" s="3"/>
      <c r="AO2" s="34">
        <v>44397</v>
      </c>
      <c r="AP2" s="3"/>
      <c r="AQ2" s="34">
        <v>44398</v>
      </c>
      <c r="AR2" s="3"/>
      <c r="AS2" s="34">
        <v>44399</v>
      </c>
      <c r="AT2" s="3"/>
      <c r="AU2" s="34">
        <v>44400</v>
      </c>
      <c r="AV2" s="3"/>
      <c r="AW2" s="34">
        <v>44401</v>
      </c>
      <c r="AX2" s="3"/>
      <c r="AY2" s="34">
        <v>44402</v>
      </c>
      <c r="AZ2" s="3"/>
      <c r="BA2" s="34">
        <v>44403</v>
      </c>
      <c r="BB2" s="3"/>
      <c r="BC2" s="34">
        <v>44404</v>
      </c>
      <c r="BD2" s="3"/>
      <c r="BE2" s="34">
        <v>44405</v>
      </c>
      <c r="BF2" s="3"/>
      <c r="BG2" s="34">
        <v>44406</v>
      </c>
      <c r="BH2" s="3"/>
      <c r="BI2" s="34">
        <v>44407</v>
      </c>
      <c r="BJ2" s="3"/>
      <c r="BK2" s="34">
        <v>44408</v>
      </c>
      <c r="BL2" s="3"/>
      <c r="BM2" s="34" t="s">
        <v>2</v>
      </c>
      <c r="BN2" s="2" t="s">
        <v>1</v>
      </c>
    </row>
    <row r="3" s="1" customFormat="1" spans="1:66">
      <c r="A3" s="35" t="s">
        <v>3</v>
      </c>
      <c r="B3" s="36" t="s">
        <v>4</v>
      </c>
      <c r="C3" s="35"/>
      <c r="D3" s="37"/>
      <c r="E3" s="51"/>
      <c r="F3" s="52"/>
      <c r="G3" s="15"/>
      <c r="H3" s="37"/>
      <c r="I3" s="35"/>
      <c r="J3" s="37"/>
      <c r="K3" s="35"/>
      <c r="L3" s="37"/>
      <c r="M3" s="35"/>
      <c r="N3" s="37"/>
      <c r="O3" s="35"/>
      <c r="P3" s="37"/>
      <c r="Q3" s="35"/>
      <c r="R3" s="37"/>
      <c r="S3" s="35"/>
      <c r="T3" s="37">
        <v>6.5</v>
      </c>
      <c r="U3" s="15"/>
      <c r="V3" s="37"/>
      <c r="W3" s="35"/>
      <c r="X3" s="37">
        <v>12</v>
      </c>
      <c r="Y3" s="35"/>
      <c r="Z3" s="15"/>
      <c r="AA3" s="35"/>
      <c r="AB3" s="15"/>
      <c r="AC3" s="35"/>
      <c r="AD3" s="15">
        <v>8</v>
      </c>
      <c r="AE3" s="35"/>
      <c r="AF3" s="15"/>
      <c r="AG3" s="35"/>
      <c r="AH3" s="15">
        <v>7.5</v>
      </c>
      <c r="AI3" s="35"/>
      <c r="AJ3" s="15"/>
      <c r="AK3" s="35"/>
      <c r="AL3" s="15"/>
      <c r="AM3" s="35"/>
      <c r="AN3" s="15"/>
      <c r="AO3" s="35"/>
      <c r="AP3" s="15"/>
      <c r="AQ3" s="35"/>
      <c r="AR3" s="15"/>
      <c r="AS3" s="35"/>
      <c r="AT3" s="15">
        <v>5.6</v>
      </c>
      <c r="AU3" s="35"/>
      <c r="AV3" s="37"/>
      <c r="AW3" s="15"/>
      <c r="AX3" s="37"/>
      <c r="AY3" s="35"/>
      <c r="AZ3" s="37"/>
      <c r="BA3" s="35"/>
      <c r="BB3" s="37"/>
      <c r="BC3" s="35"/>
      <c r="BD3" s="37"/>
      <c r="BE3" s="35"/>
      <c r="BF3" s="37">
        <v>6.3</v>
      </c>
      <c r="BG3" s="35"/>
      <c r="BH3" s="37"/>
      <c r="BI3" s="35"/>
      <c r="BJ3" s="37"/>
      <c r="BK3" s="35"/>
      <c r="BL3" s="37"/>
      <c r="BM3" s="7">
        <f>SUM(C3:BL6)</f>
        <v>1431.95</v>
      </c>
      <c r="BN3" s="29" t="s">
        <v>4</v>
      </c>
    </row>
    <row r="4" s="1" customFormat="1" spans="1:66">
      <c r="A4" s="35"/>
      <c r="B4" s="36" t="s">
        <v>5</v>
      </c>
      <c r="C4" s="35"/>
      <c r="D4" s="37">
        <v>12</v>
      </c>
      <c r="E4" s="15"/>
      <c r="F4" s="37">
        <v>27</v>
      </c>
      <c r="G4" s="15"/>
      <c r="H4" s="37">
        <v>13</v>
      </c>
      <c r="I4" s="35"/>
      <c r="J4" s="37">
        <v>13</v>
      </c>
      <c r="K4" s="35"/>
      <c r="L4" s="37">
        <v>15</v>
      </c>
      <c r="M4" s="35"/>
      <c r="N4" s="37">
        <v>13</v>
      </c>
      <c r="O4" s="35"/>
      <c r="P4" s="37"/>
      <c r="Q4" s="35"/>
      <c r="R4" s="37"/>
      <c r="S4" s="35"/>
      <c r="T4" s="37">
        <v>15</v>
      </c>
      <c r="U4" s="15" t="s">
        <v>195</v>
      </c>
      <c r="V4" s="37">
        <v>44</v>
      </c>
      <c r="W4" s="35"/>
      <c r="X4" s="37">
        <v>13</v>
      </c>
      <c r="Y4" s="35"/>
      <c r="Z4" s="15">
        <v>13</v>
      </c>
      <c r="AA4" s="35"/>
      <c r="AB4" s="15">
        <v>13</v>
      </c>
      <c r="AC4" s="35"/>
      <c r="AD4" s="15">
        <v>11.5</v>
      </c>
      <c r="AE4" s="35"/>
      <c r="AF4" s="15">
        <v>13</v>
      </c>
      <c r="AG4" s="35"/>
      <c r="AH4" s="15">
        <v>13</v>
      </c>
      <c r="AI4" s="35"/>
      <c r="AJ4" s="15">
        <v>13</v>
      </c>
      <c r="AK4" s="35"/>
      <c r="AL4" s="15">
        <v>13</v>
      </c>
      <c r="AM4" s="35"/>
      <c r="AN4" s="15">
        <v>13</v>
      </c>
      <c r="AO4" s="35"/>
      <c r="AP4" s="15">
        <v>20</v>
      </c>
      <c r="AQ4" s="35"/>
      <c r="AR4" s="15">
        <v>13</v>
      </c>
      <c r="AS4" s="35"/>
      <c r="AT4" s="15">
        <v>25</v>
      </c>
      <c r="AU4" s="35"/>
      <c r="AV4" s="37">
        <v>20</v>
      </c>
      <c r="AW4" s="15"/>
      <c r="AX4" s="37">
        <v>26</v>
      </c>
      <c r="AY4" s="35"/>
      <c r="AZ4" s="37">
        <v>14</v>
      </c>
      <c r="BA4" s="35"/>
      <c r="BB4" s="37">
        <v>29</v>
      </c>
      <c r="BC4" s="35"/>
      <c r="BD4" s="37">
        <v>29</v>
      </c>
      <c r="BE4" s="35"/>
      <c r="BF4" s="37">
        <v>12</v>
      </c>
      <c r="BG4" s="35"/>
      <c r="BH4" s="37"/>
      <c r="BI4" s="35"/>
      <c r="BJ4" s="37">
        <v>15</v>
      </c>
      <c r="BK4" s="35"/>
      <c r="BL4" s="37">
        <v>23.5</v>
      </c>
      <c r="BM4" s="7"/>
      <c r="BN4" s="29" t="s">
        <v>5</v>
      </c>
    </row>
    <row r="5" s="1" customFormat="1" spans="1:66">
      <c r="A5" s="35"/>
      <c r="B5" s="36" t="s">
        <v>6</v>
      </c>
      <c r="C5" s="35" t="s">
        <v>196</v>
      </c>
      <c r="D5" s="15">
        <v>100</v>
      </c>
      <c r="E5" s="35"/>
      <c r="F5" s="15"/>
      <c r="G5" s="35"/>
      <c r="H5" s="15">
        <v>12</v>
      </c>
      <c r="I5" s="35"/>
      <c r="J5" s="37">
        <v>12</v>
      </c>
      <c r="K5" s="35"/>
      <c r="L5" s="37">
        <v>10</v>
      </c>
      <c r="M5" s="35"/>
      <c r="N5" s="37"/>
      <c r="O5" s="35"/>
      <c r="P5" s="37">
        <v>23</v>
      </c>
      <c r="Q5" s="35"/>
      <c r="R5" s="37">
        <v>5</v>
      </c>
      <c r="S5" s="35"/>
      <c r="T5" s="37">
        <v>12</v>
      </c>
      <c r="U5" s="15"/>
      <c r="V5" s="37">
        <v>10</v>
      </c>
      <c r="W5" s="35"/>
      <c r="X5" s="37">
        <v>21</v>
      </c>
      <c r="Y5" s="35"/>
      <c r="Z5" s="15"/>
      <c r="AA5" s="35"/>
      <c r="AB5" s="15">
        <v>11</v>
      </c>
      <c r="AC5" s="35"/>
      <c r="AD5" s="15"/>
      <c r="AE5" s="35"/>
      <c r="AF5" s="15">
        <v>10.5</v>
      </c>
      <c r="AG5" s="35"/>
      <c r="AH5" s="15">
        <v>50</v>
      </c>
      <c r="AI5" s="35"/>
      <c r="AJ5" s="15"/>
      <c r="AK5" s="35"/>
      <c r="AL5" s="15">
        <v>8.1</v>
      </c>
      <c r="AM5" s="35"/>
      <c r="AN5" s="15">
        <v>12</v>
      </c>
      <c r="AO5" s="35"/>
      <c r="AP5" s="15">
        <v>12</v>
      </c>
      <c r="AQ5" s="35"/>
      <c r="AR5" s="15">
        <v>25</v>
      </c>
      <c r="AS5" s="35"/>
      <c r="AT5" s="15">
        <v>25</v>
      </c>
      <c r="AU5" s="35"/>
      <c r="AV5" s="37">
        <v>36.75</v>
      </c>
      <c r="AW5" s="15"/>
      <c r="AX5" s="37">
        <v>12</v>
      </c>
      <c r="AY5" s="35"/>
      <c r="AZ5" s="37">
        <v>10</v>
      </c>
      <c r="BA5" s="35"/>
      <c r="BB5" s="37">
        <v>16</v>
      </c>
      <c r="BC5" s="35"/>
      <c r="BD5" s="37"/>
      <c r="BE5" s="35"/>
      <c r="BF5" s="37">
        <v>18.8</v>
      </c>
      <c r="BG5" s="35"/>
      <c r="BH5" s="37">
        <v>14.5</v>
      </c>
      <c r="BI5" s="35"/>
      <c r="BJ5" s="37">
        <v>42</v>
      </c>
      <c r="BK5" s="35"/>
      <c r="BL5" s="37">
        <v>32</v>
      </c>
      <c r="BM5" s="7"/>
      <c r="BN5" s="29" t="s">
        <v>6</v>
      </c>
    </row>
    <row r="6" s="1" customFormat="1" spans="1:66">
      <c r="A6" s="38"/>
      <c r="B6" s="39" t="s">
        <v>8</v>
      </c>
      <c r="C6" s="38"/>
      <c r="D6" s="40"/>
      <c r="E6" s="38" t="s">
        <v>197</v>
      </c>
      <c r="F6" s="40">
        <f>15+10</f>
        <v>25</v>
      </c>
      <c r="G6" s="38" t="s">
        <v>198</v>
      </c>
      <c r="H6" s="40">
        <v>22</v>
      </c>
      <c r="I6" s="38"/>
      <c r="J6" s="53"/>
      <c r="K6" s="38"/>
      <c r="L6" s="53"/>
      <c r="M6" s="38" t="s">
        <v>199</v>
      </c>
      <c r="N6" s="53">
        <v>34</v>
      </c>
      <c r="O6" s="38"/>
      <c r="P6" s="53"/>
      <c r="Q6" s="38"/>
      <c r="R6" s="53"/>
      <c r="S6" s="38"/>
      <c r="T6" s="53">
        <v>5</v>
      </c>
      <c r="U6" s="40" t="s">
        <v>200</v>
      </c>
      <c r="V6" s="53">
        <v>24</v>
      </c>
      <c r="W6" s="38"/>
      <c r="X6" s="53">
        <v>6</v>
      </c>
      <c r="Y6" s="38"/>
      <c r="Z6" s="40">
        <v>14</v>
      </c>
      <c r="AA6" s="38"/>
      <c r="AB6" s="40"/>
      <c r="AC6" s="38"/>
      <c r="AD6" s="40">
        <v>8.5</v>
      </c>
      <c r="AE6" s="38"/>
      <c r="AF6" s="40">
        <v>20</v>
      </c>
      <c r="AG6" s="38"/>
      <c r="AH6" s="40">
        <v>26</v>
      </c>
      <c r="AI6" s="38"/>
      <c r="AJ6" s="40"/>
      <c r="AK6" s="38"/>
      <c r="AL6" s="40"/>
      <c r="AM6" s="38"/>
      <c r="AN6" s="40">
        <v>10</v>
      </c>
      <c r="AO6" s="38" t="s">
        <v>201</v>
      </c>
      <c r="AP6" s="40">
        <v>31</v>
      </c>
      <c r="AQ6" s="38"/>
      <c r="AR6" s="40">
        <v>10</v>
      </c>
      <c r="AS6" s="38"/>
      <c r="AT6" s="40"/>
      <c r="AU6" s="38"/>
      <c r="AV6" s="53">
        <v>12</v>
      </c>
      <c r="AW6" s="40"/>
      <c r="AX6" s="53">
        <v>6</v>
      </c>
      <c r="AY6" s="38"/>
      <c r="AZ6" s="53">
        <v>4</v>
      </c>
      <c r="BA6" s="38"/>
      <c r="BB6" s="53">
        <v>8.3</v>
      </c>
      <c r="BC6" s="38"/>
      <c r="BD6" s="53">
        <v>18.8</v>
      </c>
      <c r="BE6" s="38"/>
      <c r="BF6" s="53">
        <v>11.3</v>
      </c>
      <c r="BG6" s="38"/>
      <c r="BH6" s="53"/>
      <c r="BI6" s="38" t="s">
        <v>202</v>
      </c>
      <c r="BJ6" s="53">
        <v>34</v>
      </c>
      <c r="BK6" s="38" t="s">
        <v>78</v>
      </c>
      <c r="BL6" s="53">
        <v>21.5</v>
      </c>
      <c r="BM6" s="7"/>
      <c r="BN6" s="5" t="s">
        <v>8</v>
      </c>
    </row>
    <row r="7" s="1" customFormat="1" spans="1:66">
      <c r="A7" s="41" t="s">
        <v>11</v>
      </c>
      <c r="B7" s="64" t="s">
        <v>12</v>
      </c>
      <c r="C7" s="35"/>
      <c r="D7" s="37"/>
      <c r="E7" s="51"/>
      <c r="F7" s="51">
        <v>27</v>
      </c>
      <c r="G7" s="41"/>
      <c r="H7" s="52"/>
      <c r="I7" s="51"/>
      <c r="J7" s="52"/>
      <c r="K7" s="51"/>
      <c r="L7" s="52"/>
      <c r="M7" s="51"/>
      <c r="N7" s="37">
        <v>13.1</v>
      </c>
      <c r="O7" s="51"/>
      <c r="P7" s="52"/>
      <c r="Q7" s="51"/>
      <c r="R7" s="52">
        <v>17.12</v>
      </c>
      <c r="S7" s="51"/>
      <c r="T7" s="37">
        <v>16.5</v>
      </c>
      <c r="U7" s="51"/>
      <c r="V7" s="52">
        <v>4</v>
      </c>
      <c r="W7" s="41"/>
      <c r="X7" s="52">
        <v>7</v>
      </c>
      <c r="Y7" s="41"/>
      <c r="Z7" s="51"/>
      <c r="AA7" s="41"/>
      <c r="AB7" s="51">
        <v>5</v>
      </c>
      <c r="AC7" s="41"/>
      <c r="AD7" s="51"/>
      <c r="AE7" s="41"/>
      <c r="AF7" s="51">
        <v>8</v>
      </c>
      <c r="AG7" s="41"/>
      <c r="AH7" s="51">
        <v>14</v>
      </c>
      <c r="AI7" s="41"/>
      <c r="AJ7" s="51"/>
      <c r="AK7" s="41"/>
      <c r="AL7" s="51"/>
      <c r="AM7" s="41"/>
      <c r="AN7" s="51">
        <v>7.5</v>
      </c>
      <c r="AO7" s="41"/>
      <c r="AP7" s="51">
        <v>13.5</v>
      </c>
      <c r="AQ7" s="41"/>
      <c r="AR7" s="51"/>
      <c r="AS7" s="41"/>
      <c r="AT7" s="51">
        <v>4.5</v>
      </c>
      <c r="AU7" s="41"/>
      <c r="AV7" s="52">
        <v>55</v>
      </c>
      <c r="AW7" s="51"/>
      <c r="AX7" s="52">
        <v>4</v>
      </c>
      <c r="AY7" s="41"/>
      <c r="AZ7" s="52"/>
      <c r="BA7" s="41"/>
      <c r="BB7" s="52">
        <v>20</v>
      </c>
      <c r="BC7" s="41"/>
      <c r="BD7" s="52"/>
      <c r="BE7" s="41"/>
      <c r="BF7" s="52"/>
      <c r="BG7" s="41"/>
      <c r="BH7" s="52"/>
      <c r="BI7" s="41"/>
      <c r="BJ7" s="52"/>
      <c r="BK7" s="41"/>
      <c r="BL7" s="52"/>
      <c r="BM7" s="7">
        <f>SUM(C7:BL7)</f>
        <v>216.22</v>
      </c>
      <c r="BN7" s="5" t="s">
        <v>12</v>
      </c>
    </row>
    <row r="8" s="1" customFormat="1" spans="1:66">
      <c r="A8" s="35"/>
      <c r="B8" s="64" t="s">
        <v>13</v>
      </c>
      <c r="C8" s="35"/>
      <c r="D8" s="37"/>
      <c r="E8" s="15"/>
      <c r="F8" s="15"/>
      <c r="G8" s="35"/>
      <c r="H8" s="37"/>
      <c r="I8" s="15"/>
      <c r="J8" s="37"/>
      <c r="K8" s="15"/>
      <c r="L8" s="37"/>
      <c r="M8" s="15"/>
      <c r="N8" s="37"/>
      <c r="O8" s="15"/>
      <c r="P8" s="37"/>
      <c r="Q8" s="15"/>
      <c r="R8" s="37"/>
      <c r="S8" s="54"/>
      <c r="T8" s="37"/>
      <c r="U8" s="15"/>
      <c r="V8" s="37"/>
      <c r="W8" s="35"/>
      <c r="X8" s="37"/>
      <c r="Y8" s="35"/>
      <c r="Z8" s="15"/>
      <c r="AA8" s="35"/>
      <c r="AB8" s="15"/>
      <c r="AC8" s="35"/>
      <c r="AD8" s="15"/>
      <c r="AE8" s="35"/>
      <c r="AF8" s="15"/>
      <c r="AG8" s="35"/>
      <c r="AH8" s="15"/>
      <c r="AI8" s="35"/>
      <c r="AJ8" s="15"/>
      <c r="AK8" s="35"/>
      <c r="AL8" s="15"/>
      <c r="AM8" s="35"/>
      <c r="AN8" s="15"/>
      <c r="AO8" s="35"/>
      <c r="AP8" s="15"/>
      <c r="AQ8" s="35"/>
      <c r="AR8" s="15"/>
      <c r="AS8" s="35"/>
      <c r="AT8" s="15"/>
      <c r="AU8" s="35"/>
      <c r="AV8" s="37"/>
      <c r="AW8" s="15"/>
      <c r="AX8" s="37"/>
      <c r="AY8" s="35"/>
      <c r="AZ8" s="37"/>
      <c r="BA8" s="35"/>
      <c r="BB8" s="37"/>
      <c r="BC8" s="35"/>
      <c r="BD8" s="37"/>
      <c r="BE8" s="35"/>
      <c r="BF8" s="37"/>
      <c r="BG8" s="35" t="s">
        <v>203</v>
      </c>
      <c r="BH8" s="37">
        <v>18.8</v>
      </c>
      <c r="BI8" s="35"/>
      <c r="BJ8" s="37"/>
      <c r="BK8" s="35"/>
      <c r="BL8" s="37"/>
      <c r="BM8" s="7">
        <f>SUM(C8:BL8)</f>
        <v>18.8</v>
      </c>
      <c r="BN8" s="5" t="s">
        <v>13</v>
      </c>
    </row>
    <row r="9" s="1" customFormat="1" spans="1:66">
      <c r="A9" s="35"/>
      <c r="B9" s="43" t="s">
        <v>56</v>
      </c>
      <c r="C9" s="35"/>
      <c r="D9" s="37"/>
      <c r="E9" s="15" t="s">
        <v>52</v>
      </c>
      <c r="F9" s="15">
        <v>102</v>
      </c>
      <c r="G9" s="35"/>
      <c r="H9" s="37"/>
      <c r="I9" s="15"/>
      <c r="J9" s="37"/>
      <c r="K9" s="15"/>
      <c r="L9" s="37"/>
      <c r="M9" s="15"/>
      <c r="N9" s="37"/>
      <c r="O9" s="15"/>
      <c r="P9" s="37"/>
      <c r="Q9" s="15"/>
      <c r="R9" s="37"/>
      <c r="S9" s="54"/>
      <c r="T9" s="37"/>
      <c r="U9" s="15"/>
      <c r="V9" s="37"/>
      <c r="W9" s="35"/>
      <c r="X9" s="37"/>
      <c r="Y9" s="35"/>
      <c r="Z9" s="15"/>
      <c r="AA9" s="35"/>
      <c r="AB9" s="15"/>
      <c r="AC9" s="35"/>
      <c r="AD9" s="15"/>
      <c r="AE9" s="35"/>
      <c r="AF9" s="15"/>
      <c r="AG9" s="35"/>
      <c r="AH9" s="15"/>
      <c r="AI9" s="35" t="s">
        <v>134</v>
      </c>
      <c r="AJ9" s="15">
        <v>20</v>
      </c>
      <c r="AK9" s="35"/>
      <c r="AL9" s="15"/>
      <c r="AM9" s="35"/>
      <c r="AN9" s="15"/>
      <c r="AO9" s="35"/>
      <c r="AP9" s="15"/>
      <c r="AQ9" s="35"/>
      <c r="AR9" s="15"/>
      <c r="AS9" s="35"/>
      <c r="AT9" s="15"/>
      <c r="AU9" s="35"/>
      <c r="AV9" s="37"/>
      <c r="AW9" s="15"/>
      <c r="AX9" s="37"/>
      <c r="AY9" s="35"/>
      <c r="AZ9" s="37"/>
      <c r="BA9" s="35" t="s">
        <v>204</v>
      </c>
      <c r="BB9" s="37">
        <v>103</v>
      </c>
      <c r="BC9" s="35" t="s">
        <v>52</v>
      </c>
      <c r="BD9" s="37">
        <v>18.3</v>
      </c>
      <c r="BE9" s="35"/>
      <c r="BF9" s="37"/>
      <c r="BG9" s="35"/>
      <c r="BH9" s="37"/>
      <c r="BI9" s="35"/>
      <c r="BJ9" s="37"/>
      <c r="BK9" s="35" t="s">
        <v>52</v>
      </c>
      <c r="BL9" s="37">
        <v>9</v>
      </c>
      <c r="BM9" s="7">
        <f>SUM(C9:BL9)</f>
        <v>252.3</v>
      </c>
      <c r="BN9" s="5" t="s">
        <v>56</v>
      </c>
    </row>
    <row r="10" s="1" customFormat="1" ht="17" spans="1:66">
      <c r="A10" s="35"/>
      <c r="B10" s="65" t="s">
        <v>18</v>
      </c>
      <c r="C10" s="35"/>
      <c r="D10" s="37"/>
      <c r="E10" s="15"/>
      <c r="F10" s="15"/>
      <c r="G10" s="35"/>
      <c r="H10" s="37"/>
      <c r="I10" s="15" t="s">
        <v>205</v>
      </c>
      <c r="J10" s="37">
        <v>66</v>
      </c>
      <c r="K10" s="15"/>
      <c r="L10" s="37"/>
      <c r="M10" s="15"/>
      <c r="N10" s="37"/>
      <c r="O10" s="15"/>
      <c r="P10" s="37"/>
      <c r="Q10" s="15" t="s">
        <v>206</v>
      </c>
      <c r="R10" s="37">
        <v>15</v>
      </c>
      <c r="S10" s="35"/>
      <c r="T10" s="37"/>
      <c r="U10" s="15"/>
      <c r="V10" s="37"/>
      <c r="W10" s="35"/>
      <c r="X10" s="37"/>
      <c r="Y10" s="35"/>
      <c r="Z10" s="15"/>
      <c r="AA10" s="35"/>
      <c r="AB10" s="15"/>
      <c r="AC10" s="35"/>
      <c r="AD10" s="15"/>
      <c r="AE10" s="35"/>
      <c r="AF10" s="15"/>
      <c r="AG10" s="35"/>
      <c r="AH10" s="15"/>
      <c r="AI10" s="35"/>
      <c r="AJ10" s="15"/>
      <c r="AK10" s="35"/>
      <c r="AL10" s="15"/>
      <c r="AM10" s="35"/>
      <c r="AN10" s="15"/>
      <c r="AO10" s="35"/>
      <c r="AP10" s="15"/>
      <c r="AQ10" s="35"/>
      <c r="AR10" s="15"/>
      <c r="AS10" s="35"/>
      <c r="AT10" s="15"/>
      <c r="AU10" s="35" t="s">
        <v>207</v>
      </c>
      <c r="AV10" s="37">
        <v>176</v>
      </c>
      <c r="AW10" s="15"/>
      <c r="AX10" s="37"/>
      <c r="AY10" s="35"/>
      <c r="AZ10" s="37"/>
      <c r="BA10" s="35"/>
      <c r="BB10" s="37"/>
      <c r="BC10" s="35"/>
      <c r="BD10" s="37"/>
      <c r="BE10" s="35"/>
      <c r="BF10" s="37"/>
      <c r="BG10" s="35"/>
      <c r="BH10" s="37"/>
      <c r="BI10" s="35"/>
      <c r="BJ10" s="37"/>
      <c r="BK10" s="35"/>
      <c r="BL10" s="37"/>
      <c r="BM10" s="7">
        <f t="shared" ref="BM10:BM23" si="0">SUM(C10:BL10)</f>
        <v>257</v>
      </c>
      <c r="BN10" s="5" t="s">
        <v>18</v>
      </c>
    </row>
    <row r="11" s="1" customFormat="1" spans="1:66">
      <c r="A11" s="35"/>
      <c r="B11" s="45" t="s">
        <v>20</v>
      </c>
      <c r="C11" s="35"/>
      <c r="D11" s="37"/>
      <c r="E11" s="15"/>
      <c r="F11" s="15"/>
      <c r="G11" s="35"/>
      <c r="H11" s="37"/>
      <c r="I11" s="15"/>
      <c r="J11" s="15"/>
      <c r="K11" s="35"/>
      <c r="L11" s="37"/>
      <c r="M11" s="35"/>
      <c r="N11" s="37"/>
      <c r="O11" s="35"/>
      <c r="P11" s="37"/>
      <c r="Q11" s="35" t="s">
        <v>208</v>
      </c>
      <c r="R11" s="37">
        <v>6</v>
      </c>
      <c r="S11" s="35"/>
      <c r="T11" s="37"/>
      <c r="U11" s="15"/>
      <c r="V11" s="37"/>
      <c r="W11" s="35"/>
      <c r="X11" s="37"/>
      <c r="Y11" s="35"/>
      <c r="Z11" s="15"/>
      <c r="AA11" s="35"/>
      <c r="AB11" s="15"/>
      <c r="AC11" s="35"/>
      <c r="AD11" s="15"/>
      <c r="AE11" s="35"/>
      <c r="AF11" s="15"/>
      <c r="AG11" s="35"/>
      <c r="AH11" s="15"/>
      <c r="AI11" s="35"/>
      <c r="AJ11" s="15"/>
      <c r="AK11" s="35" t="s">
        <v>113</v>
      </c>
      <c r="AL11" s="15">
        <v>6</v>
      </c>
      <c r="AM11" s="35"/>
      <c r="AN11" s="15"/>
      <c r="AO11" s="35"/>
      <c r="AP11" s="15"/>
      <c r="AQ11" s="35"/>
      <c r="AR11" s="15"/>
      <c r="AS11" s="35"/>
      <c r="AT11" s="15"/>
      <c r="AU11" s="35"/>
      <c r="AV11" s="37"/>
      <c r="AW11" s="15"/>
      <c r="AX11" s="37"/>
      <c r="AY11" s="35"/>
      <c r="AZ11" s="37"/>
      <c r="BA11" s="35"/>
      <c r="BB11" s="37"/>
      <c r="BC11" s="35"/>
      <c r="BD11" s="37"/>
      <c r="BE11" s="35"/>
      <c r="BF11" s="37"/>
      <c r="BG11" s="35"/>
      <c r="BH11" s="37"/>
      <c r="BI11" s="35"/>
      <c r="BJ11" s="37"/>
      <c r="BK11" s="35" t="s">
        <v>209</v>
      </c>
      <c r="BL11" s="37">
        <v>15</v>
      </c>
      <c r="BM11" s="7">
        <f t="shared" si="0"/>
        <v>27</v>
      </c>
      <c r="BN11" s="5" t="s">
        <v>20</v>
      </c>
    </row>
    <row r="12" s="1" customFormat="1" spans="1:66">
      <c r="A12" s="35"/>
      <c r="B12" s="45" t="s">
        <v>22</v>
      </c>
      <c r="C12" s="35"/>
      <c r="D12" s="15"/>
      <c r="E12" s="35"/>
      <c r="F12" s="37"/>
      <c r="G12" s="35"/>
      <c r="H12" s="37"/>
      <c r="I12" s="35"/>
      <c r="J12" s="37"/>
      <c r="K12" s="35" t="s">
        <v>210</v>
      </c>
      <c r="L12" s="37">
        <v>35</v>
      </c>
      <c r="M12" s="35"/>
      <c r="N12" s="37"/>
      <c r="O12" s="35" t="s">
        <v>211</v>
      </c>
      <c r="P12" s="37">
        <v>487.4</v>
      </c>
      <c r="Q12" s="35"/>
      <c r="R12" s="37"/>
      <c r="S12" s="35"/>
      <c r="T12" s="37"/>
      <c r="U12" s="15"/>
      <c r="V12" s="37"/>
      <c r="W12" s="35"/>
      <c r="X12" s="37"/>
      <c r="Y12" s="35"/>
      <c r="Z12" s="15"/>
      <c r="AA12" s="35"/>
      <c r="AB12" s="15"/>
      <c r="AC12" s="35"/>
      <c r="AD12" s="15"/>
      <c r="AE12" s="35"/>
      <c r="AF12" s="15"/>
      <c r="AG12" s="35"/>
      <c r="AH12" s="15"/>
      <c r="AI12" s="35"/>
      <c r="AJ12" s="15"/>
      <c r="AK12" s="35"/>
      <c r="AL12" s="15"/>
      <c r="AM12" s="35"/>
      <c r="AN12" s="15"/>
      <c r="AO12" s="35"/>
      <c r="AP12" s="15"/>
      <c r="AQ12" s="35"/>
      <c r="AR12" s="15"/>
      <c r="AS12" s="35"/>
      <c r="AT12" s="15"/>
      <c r="AU12" s="35"/>
      <c r="AV12" s="37"/>
      <c r="AW12" s="15"/>
      <c r="AX12" s="37"/>
      <c r="AY12" s="35"/>
      <c r="AZ12" s="37"/>
      <c r="BA12" s="35"/>
      <c r="BB12" s="37"/>
      <c r="BC12" s="35"/>
      <c r="BD12" s="37"/>
      <c r="BE12" s="35"/>
      <c r="BF12" s="37"/>
      <c r="BG12" s="35" t="s">
        <v>212</v>
      </c>
      <c r="BH12" s="37">
        <v>28</v>
      </c>
      <c r="BI12" s="35" t="s">
        <v>212</v>
      </c>
      <c r="BJ12" s="37">
        <v>30</v>
      </c>
      <c r="BK12" s="35"/>
      <c r="BL12" s="37"/>
      <c r="BM12" s="7">
        <f t="shared" si="0"/>
        <v>580.4</v>
      </c>
      <c r="BN12" s="5" t="s">
        <v>22</v>
      </c>
    </row>
    <row r="13" s="1" customFormat="1" spans="1:66">
      <c r="A13" s="35"/>
      <c r="B13" s="45" t="s">
        <v>25</v>
      </c>
      <c r="C13" s="35" t="s">
        <v>213</v>
      </c>
      <c r="D13" s="15">
        <v>164</v>
      </c>
      <c r="E13" s="35"/>
      <c r="F13" s="37"/>
      <c r="G13" s="35"/>
      <c r="H13" s="37"/>
      <c r="I13" s="35"/>
      <c r="J13" s="37"/>
      <c r="K13" s="35"/>
      <c r="L13" s="37"/>
      <c r="M13" s="35"/>
      <c r="N13" s="37"/>
      <c r="O13" s="35" t="s">
        <v>213</v>
      </c>
      <c r="P13" s="37">
        <v>174</v>
      </c>
      <c r="Q13" s="35"/>
      <c r="R13" s="37"/>
      <c r="S13" s="35"/>
      <c r="T13" s="37"/>
      <c r="U13" s="15"/>
      <c r="V13" s="37"/>
      <c r="W13" s="35" t="s">
        <v>214</v>
      </c>
      <c r="X13" s="37">
        <v>96</v>
      </c>
      <c r="Y13" s="35"/>
      <c r="Z13" s="15"/>
      <c r="AA13" s="35"/>
      <c r="AB13" s="15"/>
      <c r="AC13" s="35"/>
      <c r="AD13" s="15"/>
      <c r="AE13" s="35" t="s">
        <v>214</v>
      </c>
      <c r="AF13" s="15">
        <v>45</v>
      </c>
      <c r="AG13" s="35"/>
      <c r="AH13" s="15"/>
      <c r="AI13" s="35"/>
      <c r="AJ13" s="15"/>
      <c r="AK13" s="35"/>
      <c r="AL13" s="15"/>
      <c r="AM13" s="35"/>
      <c r="AN13" s="15">
        <v>45</v>
      </c>
      <c r="AO13" s="35"/>
      <c r="AP13" s="15">
        <v>39</v>
      </c>
      <c r="AQ13" s="35"/>
      <c r="AR13" s="15">
        <v>39</v>
      </c>
      <c r="AS13" s="35"/>
      <c r="AT13" s="15">
        <v>56</v>
      </c>
      <c r="AU13" s="35"/>
      <c r="AV13" s="37">
        <v>56</v>
      </c>
      <c r="AW13" s="15"/>
      <c r="AX13" s="37"/>
      <c r="AY13" s="35"/>
      <c r="AZ13" s="37"/>
      <c r="BA13" s="35"/>
      <c r="BB13" s="37"/>
      <c r="BC13" s="35"/>
      <c r="BD13" s="37"/>
      <c r="BE13" s="35"/>
      <c r="BF13" s="37"/>
      <c r="BG13" s="35"/>
      <c r="BH13" s="37"/>
      <c r="BI13" s="35"/>
      <c r="BJ13" s="37"/>
      <c r="BK13" s="35"/>
      <c r="BL13" s="37"/>
      <c r="BM13" s="7">
        <f t="shared" si="0"/>
        <v>714</v>
      </c>
      <c r="BN13" s="5" t="s">
        <v>25</v>
      </c>
    </row>
    <row r="14" s="1" customFormat="1" spans="1:66">
      <c r="A14" s="10" t="s">
        <v>26</v>
      </c>
      <c r="B14" s="46" t="s">
        <v>27</v>
      </c>
      <c r="C14" s="5"/>
      <c r="D14" s="10"/>
      <c r="E14" s="5"/>
      <c r="F14" s="10"/>
      <c r="G14" s="5"/>
      <c r="H14" s="10">
        <v>6</v>
      </c>
      <c r="I14" s="5"/>
      <c r="J14" s="10"/>
      <c r="K14" s="5" t="s">
        <v>215</v>
      </c>
      <c r="L14" s="10">
        <v>16.5</v>
      </c>
      <c r="M14" s="5" t="s">
        <v>216</v>
      </c>
      <c r="N14" s="10">
        <v>15</v>
      </c>
      <c r="O14" s="5"/>
      <c r="P14" s="10"/>
      <c r="Q14" s="5"/>
      <c r="R14" s="10"/>
      <c r="S14" s="5"/>
      <c r="T14" s="10"/>
      <c r="U14" s="5"/>
      <c r="V14" s="10"/>
      <c r="W14" s="5"/>
      <c r="X14" s="10"/>
      <c r="Y14" s="5" t="s">
        <v>217</v>
      </c>
      <c r="Z14" s="10">
        <v>11</v>
      </c>
      <c r="AA14" s="5"/>
      <c r="AB14" s="10"/>
      <c r="AC14" s="5"/>
      <c r="AD14" s="10"/>
      <c r="AE14" s="5"/>
      <c r="AF14" s="10">
        <v>6</v>
      </c>
      <c r="AG14" s="5"/>
      <c r="AH14" s="10">
        <v>8</v>
      </c>
      <c r="AI14" s="5"/>
      <c r="AJ14" s="10"/>
      <c r="AK14" s="5"/>
      <c r="AL14" s="10"/>
      <c r="AM14" s="5"/>
      <c r="AN14" s="10"/>
      <c r="AO14" s="5"/>
      <c r="AP14" s="10"/>
      <c r="AQ14" s="5"/>
      <c r="AR14" s="10"/>
      <c r="AS14" s="5"/>
      <c r="AT14" s="10"/>
      <c r="AU14" s="5"/>
      <c r="AV14" s="10"/>
      <c r="AW14" s="5"/>
      <c r="AX14" s="10"/>
      <c r="AY14" s="5"/>
      <c r="AZ14" s="10"/>
      <c r="BA14" s="5"/>
      <c r="BB14" s="10"/>
      <c r="BC14" s="5"/>
      <c r="BD14" s="10"/>
      <c r="BE14" s="5"/>
      <c r="BF14" s="10"/>
      <c r="BG14" s="10" t="s">
        <v>218</v>
      </c>
      <c r="BH14" s="10">
        <v>20</v>
      </c>
      <c r="BI14" s="10"/>
      <c r="BJ14" s="10"/>
      <c r="BK14" s="10"/>
      <c r="BL14" s="10"/>
      <c r="BM14" s="7">
        <f t="shared" si="0"/>
        <v>82.5</v>
      </c>
      <c r="BN14" s="5" t="s">
        <v>27</v>
      </c>
    </row>
    <row r="15" s="1" customFormat="1" spans="1:66">
      <c r="A15" s="10" t="s">
        <v>29</v>
      </c>
      <c r="B15" s="46" t="s">
        <v>30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 t="s">
        <v>219</v>
      </c>
      <c r="BB15" s="10">
        <f>88+25+49</f>
        <v>162</v>
      </c>
      <c r="BC15" s="5"/>
      <c r="BD15" s="10"/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162</v>
      </c>
      <c r="BN15" s="5" t="s">
        <v>31</v>
      </c>
    </row>
    <row r="16" s="1" customFormat="1" spans="1:66">
      <c r="A16" s="10" t="s">
        <v>32</v>
      </c>
      <c r="B16" s="46" t="s">
        <v>33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 t="s">
        <v>220</v>
      </c>
      <c r="N16" s="10">
        <f>26.5+12.2+29</f>
        <v>67.7</v>
      </c>
      <c r="O16" s="5" t="s">
        <v>221</v>
      </c>
      <c r="P16" s="10">
        <v>17</v>
      </c>
      <c r="Q16" s="5"/>
      <c r="R16" s="10"/>
      <c r="S16" s="5"/>
      <c r="T16" s="10"/>
      <c r="U16" s="5" t="s">
        <v>222</v>
      </c>
      <c r="V16" s="10">
        <v>34</v>
      </c>
      <c r="W16" s="5" t="s">
        <v>223</v>
      </c>
      <c r="X16" s="10">
        <v>9</v>
      </c>
      <c r="Y16" s="5" t="s">
        <v>224</v>
      </c>
      <c r="Z16" s="10">
        <f>19+8</f>
        <v>27</v>
      </c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 t="s">
        <v>225</v>
      </c>
      <c r="BD16" s="10">
        <v>45</v>
      </c>
      <c r="BE16" s="5"/>
      <c r="BF16" s="10"/>
      <c r="BG16" s="5"/>
      <c r="BH16" s="10"/>
      <c r="BI16" s="10"/>
      <c r="BJ16" s="10">
        <v>8</v>
      </c>
      <c r="BK16" s="10"/>
      <c r="BL16" s="10"/>
      <c r="BM16" s="7">
        <f t="shared" si="0"/>
        <v>207.7</v>
      </c>
      <c r="BN16" s="5" t="s">
        <v>34</v>
      </c>
    </row>
    <row r="17" s="1" customFormat="1" spans="1:66">
      <c r="A17" s="10" t="s">
        <v>35</v>
      </c>
      <c r="B17" s="46" t="s">
        <v>36</v>
      </c>
      <c r="C17" s="5"/>
      <c r="D17" s="10"/>
      <c r="E17" s="5"/>
      <c r="F17" s="10"/>
      <c r="G17" s="5" t="s">
        <v>191</v>
      </c>
      <c r="H17" s="10">
        <v>25</v>
      </c>
      <c r="I17" s="5"/>
      <c r="J17" s="10"/>
      <c r="K17" s="5"/>
      <c r="L17" s="10"/>
      <c r="M17" s="5" t="s">
        <v>226</v>
      </c>
      <c r="N17" s="10">
        <v>275</v>
      </c>
      <c r="O17" s="5"/>
      <c r="P17" s="10"/>
      <c r="Q17" s="5" t="s">
        <v>227</v>
      </c>
      <c r="R17" s="10">
        <v>1100</v>
      </c>
      <c r="S17" s="5"/>
      <c r="T17" s="10"/>
      <c r="U17" s="5"/>
      <c r="V17" s="10"/>
      <c r="W17" s="5" t="s">
        <v>191</v>
      </c>
      <c r="X17" s="10">
        <v>12</v>
      </c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 t="s">
        <v>228</v>
      </c>
      <c r="AV17" s="10">
        <v>240</v>
      </c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1652</v>
      </c>
      <c r="BN17" s="5" t="s">
        <v>36</v>
      </c>
    </row>
    <row r="18" s="1" customFormat="1" ht="17" spans="1:66">
      <c r="A18" s="11" t="s">
        <v>37</v>
      </c>
      <c r="B18" s="10" t="s">
        <v>38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15" t="s">
        <v>229</v>
      </c>
      <c r="V18" s="37">
        <v>68</v>
      </c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5"/>
      <c r="BL18" s="10"/>
      <c r="BM18" s="7">
        <f t="shared" si="0"/>
        <v>68</v>
      </c>
      <c r="BN18" s="5" t="s">
        <v>38</v>
      </c>
    </row>
    <row r="19" s="1" customFormat="1" spans="1:66">
      <c r="A19" s="10"/>
      <c r="B19" s="12" t="s">
        <v>40</v>
      </c>
      <c r="C19" s="10">
        <f>SUM(C3:D18)</f>
        <v>276</v>
      </c>
      <c r="D19" s="8"/>
      <c r="E19" s="10">
        <f>SUM(E3:F18)</f>
        <v>181</v>
      </c>
      <c r="F19" s="8"/>
      <c r="G19" s="10">
        <f>SUM(G3:H18)</f>
        <v>78</v>
      </c>
      <c r="H19" s="8"/>
      <c r="I19" s="10">
        <f>SUM(I3:J18)</f>
        <v>91</v>
      </c>
      <c r="J19" s="8"/>
      <c r="K19" s="10">
        <f>SUM(K3:L18)</f>
        <v>76.5</v>
      </c>
      <c r="L19" s="8"/>
      <c r="M19" s="10">
        <f>SUM(M3:N18)</f>
        <v>417.8</v>
      </c>
      <c r="N19" s="8"/>
      <c r="O19" s="10">
        <f>SUM(O3:P18)</f>
        <v>701.4</v>
      </c>
      <c r="P19" s="8"/>
      <c r="Q19" s="10">
        <f>SUM(Q3:R18)</f>
        <v>1143.12</v>
      </c>
      <c r="R19" s="8"/>
      <c r="S19" s="10">
        <f>SUM(S3:T18)</f>
        <v>55</v>
      </c>
      <c r="T19" s="8"/>
      <c r="U19" s="10">
        <f>SUM(U3:V18)</f>
        <v>184</v>
      </c>
      <c r="V19" s="8"/>
      <c r="W19" s="10">
        <f>SUM(W3:X18)</f>
        <v>176</v>
      </c>
      <c r="X19" s="8"/>
      <c r="Y19" s="10">
        <f>SUM(Y3:Z18)</f>
        <v>65</v>
      </c>
      <c r="Z19" s="8"/>
      <c r="AA19" s="10">
        <f>SUM(AA3:AB18)</f>
        <v>29</v>
      </c>
      <c r="AB19" s="8"/>
      <c r="AC19" s="10">
        <f>SUM(AC3:AD18)</f>
        <v>28</v>
      </c>
      <c r="AD19" s="8"/>
      <c r="AE19" s="10">
        <f>SUM(AE3:AF18)</f>
        <v>102.5</v>
      </c>
      <c r="AF19" s="8"/>
      <c r="AG19" s="10">
        <f>SUM(AG3:AH18)</f>
        <v>118.5</v>
      </c>
      <c r="AH19" s="8"/>
      <c r="AI19" s="10">
        <f>SUM(AI3:AJ18)</f>
        <v>33</v>
      </c>
      <c r="AJ19" s="8"/>
      <c r="AK19" s="10">
        <f>SUM(AK3:AL18)</f>
        <v>27.1</v>
      </c>
      <c r="AL19" s="8"/>
      <c r="AM19" s="10">
        <f>SUM(AM3:AN18)</f>
        <v>87.5</v>
      </c>
      <c r="AN19" s="8"/>
      <c r="AO19" s="10">
        <f>SUM(AO3:AP18)</f>
        <v>115.5</v>
      </c>
      <c r="AP19" s="8"/>
      <c r="AQ19" s="10">
        <f>SUM(AQ3:AR18)</f>
        <v>87</v>
      </c>
      <c r="AR19" s="8"/>
      <c r="AS19" s="10">
        <f>SUM(AS3:AT18)</f>
        <v>116.1</v>
      </c>
      <c r="AT19" s="8"/>
      <c r="AU19" s="10">
        <f>SUM(AU3:AV18)</f>
        <v>595.75</v>
      </c>
      <c r="AV19" s="8"/>
      <c r="AW19" s="10">
        <f>SUM(AW3:AX18)</f>
        <v>48</v>
      </c>
      <c r="AX19" s="8"/>
      <c r="AY19" s="10">
        <f>SUM(AY3:AZ18)</f>
        <v>28</v>
      </c>
      <c r="AZ19" s="8"/>
      <c r="BA19" s="10">
        <f>SUM(BA3:BB18)</f>
        <v>338.3</v>
      </c>
      <c r="BB19" s="8"/>
      <c r="BC19" s="10">
        <f>SUM(BC3:BD18)</f>
        <v>111.1</v>
      </c>
      <c r="BD19" s="8"/>
      <c r="BE19" s="10">
        <f>SUM(BE3:BF18)</f>
        <v>48.4</v>
      </c>
      <c r="BF19" s="8"/>
      <c r="BG19" s="10">
        <f>SUM(BG3:BH18)</f>
        <v>81.3</v>
      </c>
      <c r="BH19" s="8"/>
      <c r="BI19" s="10">
        <f>SUM(BI3:BJ18)</f>
        <v>129</v>
      </c>
      <c r="BJ19" s="8"/>
      <c r="BK19" s="10">
        <f>SUM(BK3:BL18)</f>
        <v>101</v>
      </c>
      <c r="BL19" s="8"/>
      <c r="BM19" s="13">
        <f t="shared" si="0"/>
        <v>5669.87</v>
      </c>
      <c r="BN19" s="12" t="s">
        <v>40</v>
      </c>
    </row>
    <row r="20" s="30" customFormat="1" spans="1:66">
      <c r="A20" s="5" t="s">
        <v>41</v>
      </c>
      <c r="B20" s="14" t="s">
        <v>42</v>
      </c>
      <c r="C20" s="17"/>
      <c r="D20" s="47"/>
      <c r="E20" s="17"/>
      <c r="F20" s="47"/>
      <c r="G20" s="17"/>
      <c r="H20" s="47"/>
      <c r="I20" s="17"/>
      <c r="J20" s="47"/>
      <c r="K20" s="17"/>
      <c r="L20" s="47"/>
      <c r="M20" s="17"/>
      <c r="N20" s="47"/>
      <c r="O20" s="17"/>
      <c r="P20" s="47"/>
      <c r="Q20" s="17"/>
      <c r="R20" s="47"/>
      <c r="S20" s="17"/>
      <c r="T20" s="47"/>
      <c r="U20" s="17"/>
      <c r="V20" s="47"/>
      <c r="Y20" s="17"/>
      <c r="Z20" s="47"/>
      <c r="AA20" s="17"/>
      <c r="AB20" s="47"/>
      <c r="AI20" s="17"/>
      <c r="AJ20" s="47"/>
      <c r="AK20" s="17"/>
      <c r="AL20" s="47"/>
      <c r="AM20" s="17"/>
      <c r="AN20" s="47"/>
      <c r="AO20" s="17"/>
      <c r="AP20" s="47"/>
      <c r="AQ20" s="17"/>
      <c r="AR20" s="47"/>
      <c r="AS20" s="17"/>
      <c r="AT20" s="47"/>
      <c r="AU20" s="17"/>
      <c r="AV20" s="47"/>
      <c r="AW20" s="17"/>
      <c r="AX20" s="47"/>
      <c r="AY20" s="17"/>
      <c r="AZ20" s="47"/>
      <c r="BA20" s="17"/>
      <c r="BB20" s="47"/>
      <c r="BC20" s="17"/>
      <c r="BD20" s="47"/>
      <c r="BE20" s="17"/>
      <c r="BF20" s="47"/>
      <c r="BG20" s="17"/>
      <c r="BH20" s="47"/>
      <c r="BI20" s="47"/>
      <c r="BJ20" s="47"/>
      <c r="BK20" s="47"/>
      <c r="BL20" s="47"/>
      <c r="BM20" s="7">
        <f t="shared" si="0"/>
        <v>0</v>
      </c>
      <c r="BN20" s="14" t="s">
        <v>42</v>
      </c>
    </row>
    <row r="21" s="1" customFormat="1" spans="1:66">
      <c r="A21" s="15"/>
      <c r="B21" s="14" t="s">
        <v>43</v>
      </c>
      <c r="C21" s="48" t="s">
        <v>44</v>
      </c>
      <c r="D21" s="48">
        <v>2000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55"/>
      <c r="X21" s="56"/>
      <c r="Y21" s="48" t="s">
        <v>105</v>
      </c>
      <c r="Z21" s="48">
        <v>1000</v>
      </c>
      <c r="AA21" s="48"/>
      <c r="AB21" s="48"/>
      <c r="AC21" s="55"/>
      <c r="AD21" s="56"/>
      <c r="AE21" s="55"/>
      <c r="AF21" s="56"/>
      <c r="AG21" s="55"/>
      <c r="AH21" s="56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13">
        <f t="shared" si="0"/>
        <v>3000</v>
      </c>
      <c r="BN21" s="14" t="s">
        <v>43</v>
      </c>
    </row>
    <row r="22" s="1" customFormat="1" spans="1:66">
      <c r="A22" s="15"/>
      <c r="B22" s="16" t="s">
        <v>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7"/>
      <c r="AP22" s="57"/>
      <c r="AQ22" s="57"/>
      <c r="AR22" s="5"/>
      <c r="AS22" s="5"/>
      <c r="AT22" s="5"/>
      <c r="AU22" s="5"/>
      <c r="AV22" s="5"/>
      <c r="AW22" s="5"/>
      <c r="AX22" s="5"/>
      <c r="AY22" s="48"/>
      <c r="AZ22" s="48"/>
      <c r="BA22" s="5" t="s">
        <v>230</v>
      </c>
      <c r="BB22" s="5">
        <v>1000</v>
      </c>
      <c r="BC22" s="5"/>
      <c r="BD22" s="59"/>
      <c r="BE22" s="59"/>
      <c r="BF22" s="59"/>
      <c r="BG22" s="59"/>
      <c r="BH22" s="59"/>
      <c r="BI22" s="59"/>
      <c r="BJ22" s="59"/>
      <c r="BK22" s="59"/>
      <c r="BL22" s="59"/>
      <c r="BM22" s="7">
        <f t="shared" si="0"/>
        <v>1000</v>
      </c>
      <c r="BN22" s="16" t="s">
        <v>45</v>
      </c>
    </row>
    <row r="23" s="1" customFormat="1" spans="1:66">
      <c r="A23" s="15"/>
      <c r="B23" s="16" t="s">
        <v>46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 t="s">
        <v>231</v>
      </c>
      <c r="N23" s="16">
        <v>230</v>
      </c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7"/>
      <c r="AP23" s="57"/>
      <c r="AQ23" s="16" t="s">
        <v>232</v>
      </c>
      <c r="AR23" s="5">
        <v>500</v>
      </c>
      <c r="AS23" s="5"/>
      <c r="AT23" s="5"/>
      <c r="AU23" s="5"/>
      <c r="AV23" s="5"/>
      <c r="AW23" s="5"/>
      <c r="AX23" s="5"/>
      <c r="AY23" s="48"/>
      <c r="AZ23" s="48"/>
      <c r="BA23" s="5"/>
      <c r="BB23" s="5"/>
      <c r="BC23" s="5"/>
      <c r="BD23" s="59"/>
      <c r="BE23" s="59"/>
      <c r="BF23" s="59"/>
      <c r="BG23" s="59"/>
      <c r="BH23" s="59"/>
      <c r="BI23" s="59"/>
      <c r="BJ23" s="59"/>
      <c r="BK23" s="59"/>
      <c r="BL23" s="59"/>
      <c r="BM23" s="7">
        <f t="shared" si="0"/>
        <v>730</v>
      </c>
      <c r="BN23" s="16" t="s">
        <v>46</v>
      </c>
    </row>
    <row r="24" s="1" customFormat="1" ht="17.6" spans="1:65">
      <c r="A24" s="15"/>
      <c r="B24"/>
      <c r="C24"/>
      <c r="D24" s="30"/>
      <c r="E24" s="30"/>
      <c r="F24" s="30"/>
      <c r="G24" s="30"/>
      <c r="H24" s="30"/>
      <c r="I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0"/>
      <c r="BE24" s="60"/>
      <c r="BF24" s="60"/>
      <c r="BG24" s="60"/>
      <c r="BH24" s="60"/>
      <c r="BI24" s="60"/>
      <c r="BJ24" s="60"/>
      <c r="BK24" s="60"/>
      <c r="BL24" s="60"/>
      <c r="BM24" s="60"/>
    </row>
    <row r="25" s="1" customFormat="1" ht="17.6" spans="1:65">
      <c r="A25" s="15"/>
      <c r="B25"/>
      <c r="C25"/>
      <c r="D25" s="49"/>
      <c r="E25" s="30"/>
      <c r="F25" s="30"/>
      <c r="G25" s="30"/>
      <c r="H25" s="30"/>
      <c r="I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0"/>
      <c r="BE25" s="60"/>
      <c r="BF25" s="60"/>
      <c r="BG25" s="60"/>
      <c r="BH25" s="60"/>
      <c r="BI25" s="60"/>
      <c r="BJ25" s="60"/>
      <c r="BK25" s="60"/>
      <c r="BL25" s="60"/>
      <c r="BM25" s="60"/>
    </row>
    <row r="26" s="1" customFormat="1" spans="1:65">
      <c r="A26" s="15"/>
      <c r="B26" s="30"/>
      <c r="C26" s="30"/>
      <c r="D26" s="30"/>
      <c r="E26" s="30"/>
      <c r="F26" s="30"/>
      <c r="G26" s="30"/>
      <c r="H26" s="30"/>
      <c r="I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0"/>
      <c r="BE26" s="60"/>
      <c r="BF26" s="60"/>
      <c r="BG26" s="60"/>
      <c r="BH26" s="60"/>
      <c r="BI26" s="60"/>
      <c r="BJ26" s="60"/>
      <c r="BK26" s="60"/>
      <c r="BL26" s="60"/>
      <c r="BM26" s="60"/>
    </row>
    <row r="27" s="1" customFormat="1" spans="1:65">
      <c r="A27" s="1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0"/>
      <c r="C28" s="30"/>
      <c r="D28" s="15"/>
      <c r="E28" s="15"/>
      <c r="F28" s="15"/>
      <c r="G28" s="15"/>
      <c r="H28" s="15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0"/>
      <c r="C29" s="30"/>
      <c r="D29" s="15"/>
      <c r="E29" s="15"/>
      <c r="F29" s="15"/>
      <c r="G29" s="15"/>
      <c r="H29" s="1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0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0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0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0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0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A3:A6"/>
    <mergeCell ref="A7:A13"/>
    <mergeCell ref="BM3:BM6"/>
  </mergeCells>
  <pageMargins left="0.75" right="0.75" top="1" bottom="1" header="0.511805555555556" footer="0.511805555555556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zoomScale="87" zoomScaleNormal="87" topLeftCell="AX1" workbookViewId="0">
      <selection activeCell="AO36" sqref="AO36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7.57142857142857" style="1" customWidth="1"/>
    <col min="4" max="4" width="8.07142857142857" style="1" customWidth="1"/>
    <col min="5" max="5" width="7.57142857142857" style="1" customWidth="1"/>
    <col min="6" max="6" width="6.21428571428571" style="1" customWidth="1"/>
    <col min="7" max="7" width="5.57142857142857" style="1" customWidth="1"/>
    <col min="8" max="8" width="6.21428571428571" style="1" customWidth="1"/>
    <col min="9" max="9" width="7.57142857142857" style="1" customWidth="1"/>
    <col min="10" max="10" width="6.21428571428571" style="1" customWidth="1"/>
    <col min="11" max="11" width="9.57142857142857" style="1" customWidth="1"/>
    <col min="12" max="12" width="6.21428571428571" style="1" customWidth="1"/>
    <col min="13" max="13" width="9.57142857142857" style="1" customWidth="1"/>
    <col min="14" max="14" width="7.14285714285714" style="1" customWidth="1"/>
    <col min="15" max="15" width="5.57142857142857" style="1" customWidth="1"/>
    <col min="16" max="16" width="6.21428571428571" style="1" customWidth="1"/>
    <col min="17" max="17" width="10.2142857142857" style="1" customWidth="1"/>
    <col min="18" max="18" width="6.85714285714286" style="1" customWidth="1"/>
    <col min="19" max="19" width="9.57142857142857" style="1" customWidth="1"/>
    <col min="20" max="20" width="6.21428571428571" style="1" customWidth="1"/>
    <col min="21" max="21" width="9.57142857142857" style="1" customWidth="1"/>
    <col min="22" max="22" width="6.21428571428571" style="1" customWidth="1"/>
    <col min="23" max="23" width="5.57142857142857" style="1" customWidth="1"/>
    <col min="24" max="24" width="6.21428571428571" style="1" customWidth="1"/>
    <col min="25" max="25" width="10.2142857142857" style="1" customWidth="1"/>
    <col min="26" max="26" width="6.85714285714286" style="1" customWidth="1"/>
    <col min="27" max="27" width="12.4285714285714" style="1" customWidth="1"/>
    <col min="28" max="28" width="7.14285714285714" style="1" customWidth="1"/>
    <col min="29" max="29" width="13.2857142857143" style="1" customWidth="1"/>
    <col min="30" max="30" width="7.14285714285714" style="1" customWidth="1"/>
    <col min="31" max="31" width="9.57142857142857" style="1" customWidth="1"/>
    <col min="32" max="32" width="7.14285714285714" style="1" customWidth="1"/>
    <col min="33" max="33" width="9.57142857142857" style="1" customWidth="1"/>
    <col min="34" max="34" width="7.14285714285714" style="1" customWidth="1"/>
    <col min="35" max="35" width="7.57142857142857" style="1" customWidth="1"/>
    <col min="36" max="36" width="6.21428571428571" style="1" customWidth="1"/>
    <col min="37" max="37" width="5.57142857142857" style="1" customWidth="1"/>
    <col min="38" max="38" width="6.21428571428571" style="1" customWidth="1"/>
    <col min="39" max="39" width="5.57142857142857" style="1" customWidth="1"/>
    <col min="40" max="40" width="6.21428571428571" style="1" customWidth="1"/>
    <col min="41" max="41" width="5.57142857142857" style="1" customWidth="1"/>
    <col min="42" max="42" width="6.21428571428571" style="1" customWidth="1"/>
    <col min="43" max="43" width="7.57142857142857" style="1" customWidth="1"/>
    <col min="44" max="44" width="6.21428571428571" style="1" customWidth="1"/>
    <col min="45" max="45" width="5.57142857142857" style="1" customWidth="1"/>
    <col min="46" max="46" width="6.21428571428571" style="1" customWidth="1"/>
    <col min="47" max="47" width="3.57142857142857" style="1" customWidth="1"/>
    <col min="48" max="48" width="7.14285714285714" style="1" customWidth="1"/>
    <col min="49" max="49" width="5.57142857142857" style="1" customWidth="1"/>
    <col min="50" max="50" width="6.21428571428571" style="1" customWidth="1"/>
    <col min="51" max="51" width="14.0714285714286" style="1" customWidth="1"/>
    <col min="52" max="52" width="6.21428571428571" style="1" customWidth="1"/>
    <col min="53" max="53" width="7.57142857142857" style="1" customWidth="1"/>
    <col min="54" max="54" width="7.14285714285714" style="1" customWidth="1"/>
    <col min="55" max="55" width="9.57142857142857" style="1" customWidth="1"/>
    <col min="56" max="56" width="7.14285714285714" style="1" customWidth="1"/>
    <col min="57" max="57" width="7.57142857142857" style="1" customWidth="1"/>
    <col min="58" max="58" width="7.14285714285714" style="1" customWidth="1"/>
    <col min="59" max="59" width="9.57142857142857" style="1" customWidth="1"/>
    <col min="60" max="60" width="7.14285714285714" style="1" customWidth="1"/>
    <col min="61" max="61" width="3.57142857142857" style="1" customWidth="1"/>
    <col min="62" max="62" width="6.21428571428571" style="1" customWidth="1"/>
    <col min="63" max="63" width="7.57142857142857" style="1" customWidth="1"/>
    <col min="64" max="64" width="7.14285714285714" style="1" customWidth="1"/>
    <col min="65" max="65" width="7.57142857142857" style="1" customWidth="1"/>
    <col min="66" max="66" width="14" style="1" customWidth="1"/>
    <col min="67" max="14413" width="8.24107142857143" style="1"/>
    <col min="14414" max="16384" width="9.11607142857143" style="1"/>
  </cols>
  <sheetData>
    <row r="1" s="1" customFormat="1" spans="3:64">
      <c r="C1" s="31"/>
      <c r="D1" s="31"/>
      <c r="E1" s="31"/>
      <c r="F1" s="31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28"/>
      <c r="T1" s="28"/>
      <c r="U1" s="28"/>
      <c r="V1" s="28"/>
      <c r="W1" s="28"/>
      <c r="X1" s="28"/>
      <c r="Y1" s="28"/>
      <c r="Z1" s="28"/>
      <c r="AK1" s="16"/>
      <c r="AL1" s="16"/>
      <c r="BA1" s="58"/>
      <c r="BB1" s="58"/>
      <c r="BE1" s="61"/>
      <c r="BF1" s="61"/>
      <c r="BG1" s="28" t="s">
        <v>233</v>
      </c>
      <c r="BH1" s="28"/>
      <c r="BI1" s="28"/>
      <c r="BJ1" s="28"/>
      <c r="BK1" s="28"/>
      <c r="BL1" s="28"/>
    </row>
    <row r="2" s="1" customFormat="1" spans="1:66">
      <c r="A2" s="32"/>
      <c r="B2" s="33" t="s">
        <v>1</v>
      </c>
      <c r="C2" s="34">
        <v>44409</v>
      </c>
      <c r="D2" s="3"/>
      <c r="E2" s="34">
        <v>44410</v>
      </c>
      <c r="F2" s="3"/>
      <c r="G2" s="34">
        <v>44411</v>
      </c>
      <c r="H2" s="3"/>
      <c r="I2" s="34">
        <v>44412</v>
      </c>
      <c r="J2" s="3"/>
      <c r="K2" s="34">
        <v>44413</v>
      </c>
      <c r="L2" s="3"/>
      <c r="M2" s="34">
        <v>44414</v>
      </c>
      <c r="N2" s="3"/>
      <c r="O2" s="34">
        <v>44415</v>
      </c>
      <c r="P2" s="3"/>
      <c r="Q2" s="34">
        <v>44416</v>
      </c>
      <c r="R2" s="3"/>
      <c r="S2" s="34">
        <v>44417</v>
      </c>
      <c r="T2" s="3"/>
      <c r="U2" s="34">
        <v>44418</v>
      </c>
      <c r="V2" s="3"/>
      <c r="W2" s="34">
        <v>44419</v>
      </c>
      <c r="X2" s="3"/>
      <c r="Y2" s="34">
        <v>44420</v>
      </c>
      <c r="Z2" s="3"/>
      <c r="AA2" s="34">
        <v>44421</v>
      </c>
      <c r="AB2" s="3"/>
      <c r="AC2" s="34">
        <v>44422</v>
      </c>
      <c r="AD2" s="3"/>
      <c r="AE2" s="34">
        <v>44423</v>
      </c>
      <c r="AF2" s="3"/>
      <c r="AG2" s="34">
        <v>44424</v>
      </c>
      <c r="AH2" s="3"/>
      <c r="AI2" s="34">
        <v>44425</v>
      </c>
      <c r="AJ2" s="3"/>
      <c r="AK2" s="34">
        <v>44426</v>
      </c>
      <c r="AL2" s="3"/>
      <c r="AM2" s="34">
        <v>44427</v>
      </c>
      <c r="AN2" s="3"/>
      <c r="AO2" s="34">
        <v>44428</v>
      </c>
      <c r="AP2" s="3"/>
      <c r="AQ2" s="34">
        <v>44429</v>
      </c>
      <c r="AR2" s="3"/>
      <c r="AS2" s="34">
        <v>44430</v>
      </c>
      <c r="AT2" s="3"/>
      <c r="AU2" s="34">
        <v>44431</v>
      </c>
      <c r="AV2" s="3"/>
      <c r="AW2" s="34">
        <v>44432</v>
      </c>
      <c r="AX2" s="3"/>
      <c r="AY2" s="34">
        <v>44433</v>
      </c>
      <c r="AZ2" s="3"/>
      <c r="BA2" s="34">
        <v>44434</v>
      </c>
      <c r="BB2" s="3"/>
      <c r="BC2" s="34">
        <v>44435</v>
      </c>
      <c r="BD2" s="3"/>
      <c r="BE2" s="34">
        <v>44436</v>
      </c>
      <c r="BF2" s="3"/>
      <c r="BG2" s="34">
        <v>44437</v>
      </c>
      <c r="BH2" s="3"/>
      <c r="BI2" s="34">
        <v>44438</v>
      </c>
      <c r="BJ2" s="3"/>
      <c r="BK2" s="34">
        <v>44439</v>
      </c>
      <c r="BL2" s="3"/>
      <c r="BM2" s="34" t="s">
        <v>2</v>
      </c>
      <c r="BN2" s="2" t="s">
        <v>1</v>
      </c>
    </row>
    <row r="3" s="1" customFormat="1" spans="1:66">
      <c r="A3" s="35" t="s">
        <v>3</v>
      </c>
      <c r="B3" s="36" t="s">
        <v>4</v>
      </c>
      <c r="C3" s="35"/>
      <c r="D3" s="37"/>
      <c r="E3" s="51"/>
      <c r="F3" s="52"/>
      <c r="G3" s="15"/>
      <c r="H3" s="37">
        <v>3.6</v>
      </c>
      <c r="I3" s="35"/>
      <c r="J3" s="37">
        <v>3.6</v>
      </c>
      <c r="K3" s="35"/>
      <c r="L3" s="37">
        <v>3.6</v>
      </c>
      <c r="M3" s="35"/>
      <c r="N3" s="37">
        <v>3.5</v>
      </c>
      <c r="O3" s="35"/>
      <c r="P3" s="37"/>
      <c r="Q3" s="35"/>
      <c r="R3" s="37"/>
      <c r="S3" s="35"/>
      <c r="T3" s="37">
        <v>3.5</v>
      </c>
      <c r="U3" s="15"/>
      <c r="V3" s="37">
        <v>3.5</v>
      </c>
      <c r="W3" s="35"/>
      <c r="X3" s="37">
        <v>3.5</v>
      </c>
      <c r="Y3" s="35"/>
      <c r="Z3" s="15">
        <v>3.1</v>
      </c>
      <c r="AA3" s="35"/>
      <c r="AB3" s="15">
        <v>3.5</v>
      </c>
      <c r="AC3" s="35"/>
      <c r="AD3" s="15"/>
      <c r="AE3" s="35"/>
      <c r="AF3" s="15"/>
      <c r="AG3" s="35"/>
      <c r="AH3" s="15">
        <v>5.3</v>
      </c>
      <c r="AI3" s="35"/>
      <c r="AJ3" s="15">
        <v>5.3</v>
      </c>
      <c r="AK3" s="35"/>
      <c r="AL3" s="15">
        <v>5.3</v>
      </c>
      <c r="AM3" s="35"/>
      <c r="AN3" s="15">
        <v>5</v>
      </c>
      <c r="AO3" s="35"/>
      <c r="AP3" s="15">
        <v>5</v>
      </c>
      <c r="AQ3" s="35"/>
      <c r="AR3" s="15"/>
      <c r="AS3" s="35"/>
      <c r="AT3" s="15"/>
      <c r="AU3" s="35"/>
      <c r="AV3" s="37">
        <v>5</v>
      </c>
      <c r="AW3" s="15"/>
      <c r="AX3" s="37">
        <v>5</v>
      </c>
      <c r="AY3" s="35"/>
      <c r="AZ3" s="37">
        <v>6</v>
      </c>
      <c r="BA3" s="35"/>
      <c r="BB3" s="37">
        <v>8.5</v>
      </c>
      <c r="BC3" s="35"/>
      <c r="BD3" s="37">
        <v>11.5</v>
      </c>
      <c r="BE3" s="35"/>
      <c r="BF3" s="62"/>
      <c r="BG3" s="35"/>
      <c r="BH3" s="37"/>
      <c r="BI3" s="35"/>
      <c r="BJ3" s="37"/>
      <c r="BK3" s="35"/>
      <c r="BL3" s="37"/>
      <c r="BM3" s="7">
        <f>SUM(C3:BL6)</f>
        <v>1655.4</v>
      </c>
      <c r="BN3" s="29" t="s">
        <v>4</v>
      </c>
    </row>
    <row r="4" s="1" customFormat="1" spans="1:66">
      <c r="A4" s="35"/>
      <c r="B4" s="36" t="s">
        <v>5</v>
      </c>
      <c r="C4" s="35"/>
      <c r="D4" s="37">
        <v>11.5</v>
      </c>
      <c r="E4" s="15"/>
      <c r="F4" s="37">
        <v>12</v>
      </c>
      <c r="G4" s="15"/>
      <c r="H4" s="37">
        <v>12</v>
      </c>
      <c r="I4" s="35"/>
      <c r="J4" s="37">
        <v>12</v>
      </c>
      <c r="K4" s="35"/>
      <c r="L4" s="37">
        <v>12</v>
      </c>
      <c r="M4" s="35"/>
      <c r="N4" s="37">
        <v>12</v>
      </c>
      <c r="O4" s="35"/>
      <c r="P4" s="37">
        <v>12</v>
      </c>
      <c r="Q4" s="35"/>
      <c r="R4" s="37">
        <v>12</v>
      </c>
      <c r="S4" s="35"/>
      <c r="T4" s="37">
        <v>12</v>
      </c>
      <c r="U4" s="15"/>
      <c r="V4" s="37">
        <v>12</v>
      </c>
      <c r="W4" s="35"/>
      <c r="X4" s="37">
        <v>12</v>
      </c>
      <c r="Y4" s="35"/>
      <c r="Z4" s="15">
        <v>12</v>
      </c>
      <c r="AA4" s="35"/>
      <c r="AB4" s="15">
        <v>12</v>
      </c>
      <c r="AC4" s="35"/>
      <c r="AD4" s="15">
        <v>12</v>
      </c>
      <c r="AE4" s="35"/>
      <c r="AF4" s="15"/>
      <c r="AG4" s="35"/>
      <c r="AH4" s="15">
        <v>12</v>
      </c>
      <c r="AI4" s="35"/>
      <c r="AJ4" s="15">
        <v>12</v>
      </c>
      <c r="AK4" s="35"/>
      <c r="AL4" s="15">
        <v>30</v>
      </c>
      <c r="AM4" s="35"/>
      <c r="AN4" s="15">
        <v>26</v>
      </c>
      <c r="AO4" s="35"/>
      <c r="AP4" s="15">
        <v>19</v>
      </c>
      <c r="AQ4" s="35"/>
      <c r="AR4" s="15"/>
      <c r="AS4" s="35"/>
      <c r="AT4" s="15">
        <v>13</v>
      </c>
      <c r="AU4" s="35"/>
      <c r="AV4" s="37">
        <v>29</v>
      </c>
      <c r="AW4" s="15"/>
      <c r="AX4" s="37">
        <v>28</v>
      </c>
      <c r="AY4" s="35"/>
      <c r="AZ4" s="37">
        <v>23</v>
      </c>
      <c r="BA4" s="35"/>
      <c r="BB4" s="37">
        <v>28</v>
      </c>
      <c r="BC4" s="35"/>
      <c r="BD4" s="37"/>
      <c r="BE4" s="35"/>
      <c r="BF4" s="62">
        <v>58</v>
      </c>
      <c r="BG4" s="35"/>
      <c r="BH4" s="37">
        <v>62</v>
      </c>
      <c r="BI4" s="35"/>
      <c r="BJ4" s="37">
        <v>57</v>
      </c>
      <c r="BK4" s="35"/>
      <c r="BL4" s="37">
        <v>76</v>
      </c>
      <c r="BM4" s="7"/>
      <c r="BN4" s="29" t="s">
        <v>5</v>
      </c>
    </row>
    <row r="5" s="1" customFormat="1" spans="1:66">
      <c r="A5" s="35"/>
      <c r="B5" s="36" t="s">
        <v>6</v>
      </c>
      <c r="C5" s="35"/>
      <c r="D5" s="15">
        <v>15</v>
      </c>
      <c r="E5" s="35"/>
      <c r="F5" s="15">
        <v>14.5</v>
      </c>
      <c r="G5" s="35"/>
      <c r="H5" s="15">
        <v>16.5</v>
      </c>
      <c r="I5" s="35"/>
      <c r="J5" s="37">
        <v>12</v>
      </c>
      <c r="K5" s="35"/>
      <c r="L5" s="37">
        <v>17.5</v>
      </c>
      <c r="M5" s="35"/>
      <c r="N5" s="37">
        <v>15.5</v>
      </c>
      <c r="O5" s="35"/>
      <c r="P5" s="37">
        <v>9</v>
      </c>
      <c r="Q5" s="35"/>
      <c r="R5" s="37">
        <v>14.5</v>
      </c>
      <c r="S5" s="35"/>
      <c r="T5" s="37">
        <v>12</v>
      </c>
      <c r="U5" s="15"/>
      <c r="V5" s="37">
        <v>4</v>
      </c>
      <c r="W5" s="35"/>
      <c r="X5" s="37">
        <v>12</v>
      </c>
      <c r="Y5" s="35"/>
      <c r="Z5" s="15">
        <v>12</v>
      </c>
      <c r="AA5" s="35"/>
      <c r="AB5" s="15"/>
      <c r="AC5" s="35"/>
      <c r="AD5" s="15">
        <v>12</v>
      </c>
      <c r="AE5" s="35"/>
      <c r="AF5" s="15"/>
      <c r="AG5" s="35"/>
      <c r="AH5" s="15">
        <v>22</v>
      </c>
      <c r="AI5" s="35"/>
      <c r="AJ5" s="15">
        <v>18</v>
      </c>
      <c r="AK5" s="35"/>
      <c r="AL5" s="15">
        <v>22</v>
      </c>
      <c r="AM5" s="35"/>
      <c r="AN5" s="15">
        <v>43</v>
      </c>
      <c r="AO5" s="35"/>
      <c r="AP5" s="15"/>
      <c r="AQ5" s="35"/>
      <c r="AR5" s="15">
        <v>35</v>
      </c>
      <c r="AS5" s="35"/>
      <c r="AT5" s="15"/>
      <c r="AU5" s="35"/>
      <c r="AV5" s="37">
        <v>12</v>
      </c>
      <c r="AW5" s="15"/>
      <c r="AX5" s="37">
        <v>12</v>
      </c>
      <c r="AY5" s="35"/>
      <c r="AZ5" s="37">
        <v>72</v>
      </c>
      <c r="BA5" s="35"/>
      <c r="BB5" s="37">
        <v>6.5</v>
      </c>
      <c r="BC5" s="35"/>
      <c r="BD5" s="37">
        <v>196</v>
      </c>
      <c r="BE5" s="35"/>
      <c r="BF5" s="62">
        <v>46</v>
      </c>
      <c r="BG5" s="35"/>
      <c r="BH5" s="37">
        <v>42</v>
      </c>
      <c r="BI5" s="35"/>
      <c r="BJ5" s="37">
        <v>55</v>
      </c>
      <c r="BK5" s="35"/>
      <c r="BL5" s="37"/>
      <c r="BM5" s="7"/>
      <c r="BN5" s="29" t="s">
        <v>6</v>
      </c>
    </row>
    <row r="6" s="1" customFormat="1" spans="1:66">
      <c r="A6" s="38"/>
      <c r="B6" s="39" t="s">
        <v>8</v>
      </c>
      <c r="C6" s="38"/>
      <c r="D6" s="40">
        <v>19.3</v>
      </c>
      <c r="E6" s="38" t="s">
        <v>78</v>
      </c>
      <c r="F6" s="40">
        <v>14</v>
      </c>
      <c r="G6" s="38"/>
      <c r="H6" s="40"/>
      <c r="I6" s="38"/>
      <c r="J6" s="53"/>
      <c r="K6" s="38"/>
      <c r="L6" s="53"/>
      <c r="M6" s="38"/>
      <c r="N6" s="53"/>
      <c r="O6" s="38"/>
      <c r="P6" s="53">
        <v>3</v>
      </c>
      <c r="Q6" s="38"/>
      <c r="R6" s="53"/>
      <c r="S6" s="38"/>
      <c r="T6" s="53"/>
      <c r="U6" s="40"/>
      <c r="V6" s="53"/>
      <c r="W6" s="38"/>
      <c r="X6" s="53">
        <v>20.7</v>
      </c>
      <c r="Y6" s="38"/>
      <c r="Z6" s="40"/>
      <c r="AA6" s="38"/>
      <c r="AB6" s="40"/>
      <c r="AC6" s="38"/>
      <c r="AD6" s="40"/>
      <c r="AE6" s="38"/>
      <c r="AF6" s="40"/>
      <c r="AG6" s="38"/>
      <c r="AH6" s="40"/>
      <c r="AI6" s="38"/>
      <c r="AJ6" s="40"/>
      <c r="AK6" s="38"/>
      <c r="AL6" s="40"/>
      <c r="AM6" s="38"/>
      <c r="AN6" s="40">
        <v>8</v>
      </c>
      <c r="AO6" s="38"/>
      <c r="AP6" s="40">
        <v>12.5</v>
      </c>
      <c r="AQ6" s="38"/>
      <c r="AR6" s="40"/>
      <c r="AS6" s="38"/>
      <c r="AT6" s="40"/>
      <c r="AU6" s="38"/>
      <c r="AV6" s="53">
        <v>8</v>
      </c>
      <c r="AW6" s="40"/>
      <c r="AX6" s="53"/>
      <c r="AY6" s="38"/>
      <c r="AZ6" s="53"/>
      <c r="BA6" s="38"/>
      <c r="BB6" s="53"/>
      <c r="BC6" s="38"/>
      <c r="BD6" s="53"/>
      <c r="BE6" s="38"/>
      <c r="BF6" s="63">
        <v>25</v>
      </c>
      <c r="BG6" s="38"/>
      <c r="BH6" s="53"/>
      <c r="BI6" s="38"/>
      <c r="BJ6" s="53">
        <f>11+27.6+11+13.5</f>
        <v>63.1</v>
      </c>
      <c r="BK6" s="38"/>
      <c r="BL6" s="53"/>
      <c r="BM6" s="7"/>
      <c r="BN6" s="5" t="s">
        <v>8</v>
      </c>
    </row>
    <row r="7" s="1" customFormat="1" spans="1:66">
      <c r="A7" s="41" t="s">
        <v>11</v>
      </c>
      <c r="B7" s="42" t="s">
        <v>12</v>
      </c>
      <c r="C7" s="35"/>
      <c r="D7" s="37"/>
      <c r="E7" s="51"/>
      <c r="F7" s="51">
        <v>87</v>
      </c>
      <c r="G7" s="41"/>
      <c r="H7" s="52"/>
      <c r="I7" s="51"/>
      <c r="J7" s="52">
        <v>6</v>
      </c>
      <c r="K7" s="51"/>
      <c r="L7" s="52">
        <v>11</v>
      </c>
      <c r="M7" s="51"/>
      <c r="N7" s="37"/>
      <c r="O7" s="51"/>
      <c r="P7" s="52"/>
      <c r="Q7" s="51"/>
      <c r="R7" s="52"/>
      <c r="S7" s="51"/>
      <c r="T7" s="37"/>
      <c r="U7" s="51"/>
      <c r="V7" s="52">
        <v>1.8</v>
      </c>
      <c r="W7" s="41"/>
      <c r="X7" s="52">
        <v>3.6</v>
      </c>
      <c r="Y7" s="41"/>
      <c r="Z7" s="51"/>
      <c r="AA7" s="41"/>
      <c r="AB7" s="51">
        <v>8.6</v>
      </c>
      <c r="AC7" s="41"/>
      <c r="AD7" s="51">
        <v>5</v>
      </c>
      <c r="AE7" s="41"/>
      <c r="AF7" s="51"/>
      <c r="AG7" s="41"/>
      <c r="AH7" s="51">
        <v>3</v>
      </c>
      <c r="AI7" s="41"/>
      <c r="AJ7" s="51">
        <v>3</v>
      </c>
      <c r="AK7" s="41"/>
      <c r="AL7" s="51">
        <v>3</v>
      </c>
      <c r="AM7" s="41"/>
      <c r="AN7" s="51"/>
      <c r="AO7" s="41"/>
      <c r="AP7" s="51">
        <v>17</v>
      </c>
      <c r="AQ7" s="41"/>
      <c r="AR7" s="51">
        <v>5</v>
      </c>
      <c r="AS7" s="41"/>
      <c r="AT7" s="51"/>
      <c r="AU7" s="41"/>
      <c r="AV7" s="52"/>
      <c r="AW7" s="51"/>
      <c r="AX7" s="52"/>
      <c r="AY7" s="41"/>
      <c r="AZ7" s="52">
        <v>6</v>
      </c>
      <c r="BA7" s="41"/>
      <c r="BB7" s="52">
        <v>5</v>
      </c>
      <c r="BC7" s="41"/>
      <c r="BD7" s="52">
        <v>85</v>
      </c>
      <c r="BE7" s="41"/>
      <c r="BF7" s="52">
        <v>30</v>
      </c>
      <c r="BG7" s="41" t="s">
        <v>234</v>
      </c>
      <c r="BH7" s="52">
        <v>150</v>
      </c>
      <c r="BI7" s="41"/>
      <c r="BJ7" s="52">
        <v>18</v>
      </c>
      <c r="BK7" s="41"/>
      <c r="BL7" s="52">
        <v>73</v>
      </c>
      <c r="BM7" s="7">
        <f>SUM(C7:BL7)</f>
        <v>521</v>
      </c>
      <c r="BN7" s="5" t="s">
        <v>12</v>
      </c>
    </row>
    <row r="8" s="1" customFormat="1" spans="1:66">
      <c r="A8" s="35"/>
      <c r="B8" s="42" t="s">
        <v>13</v>
      </c>
      <c r="C8" s="35"/>
      <c r="D8" s="37"/>
      <c r="E8" s="15"/>
      <c r="F8" s="15"/>
      <c r="G8" s="35"/>
      <c r="H8" s="37"/>
      <c r="I8" s="15"/>
      <c r="J8" s="37"/>
      <c r="K8" s="15"/>
      <c r="L8" s="37"/>
      <c r="M8" s="15"/>
      <c r="N8" s="37"/>
      <c r="O8" s="15"/>
      <c r="P8" s="37"/>
      <c r="Q8" s="15"/>
      <c r="R8" s="37"/>
      <c r="S8" s="54"/>
      <c r="T8" s="37"/>
      <c r="U8" s="15"/>
      <c r="V8" s="37"/>
      <c r="W8" s="35"/>
      <c r="X8" s="37"/>
      <c r="Y8" s="35"/>
      <c r="Z8" s="15"/>
      <c r="AA8" s="35"/>
      <c r="AB8" s="15"/>
      <c r="AC8" s="35"/>
      <c r="AD8" s="15"/>
      <c r="AE8" s="35"/>
      <c r="AF8" s="15"/>
      <c r="AG8" s="35"/>
      <c r="AH8" s="15"/>
      <c r="AI8" s="35"/>
      <c r="AJ8" s="15"/>
      <c r="AK8" s="35"/>
      <c r="AL8" s="15"/>
      <c r="AM8" s="35"/>
      <c r="AN8" s="15"/>
      <c r="AO8" s="35"/>
      <c r="AP8" s="15"/>
      <c r="AQ8" s="35"/>
      <c r="AR8" s="15"/>
      <c r="AS8" s="35"/>
      <c r="AT8" s="15"/>
      <c r="AU8" s="35"/>
      <c r="AV8" s="37"/>
      <c r="AW8" s="15"/>
      <c r="AX8" s="37"/>
      <c r="AY8" s="35"/>
      <c r="AZ8" s="37"/>
      <c r="BA8" s="35"/>
      <c r="BB8" s="37"/>
      <c r="BC8" s="35"/>
      <c r="BD8" s="37"/>
      <c r="BE8" s="35"/>
      <c r="BF8" s="37"/>
      <c r="BG8" s="35"/>
      <c r="BH8" s="37"/>
      <c r="BI8" s="35"/>
      <c r="BJ8" s="37"/>
      <c r="BK8" s="35"/>
      <c r="BL8" s="37"/>
      <c r="BM8" s="7">
        <f>SUM(C8:BL8)</f>
        <v>0</v>
      </c>
      <c r="BN8" s="5" t="s">
        <v>13</v>
      </c>
    </row>
    <row r="9" s="1" customFormat="1" spans="1:66">
      <c r="A9" s="35"/>
      <c r="B9" s="43" t="s">
        <v>56</v>
      </c>
      <c r="C9" s="35"/>
      <c r="D9" s="37"/>
      <c r="E9" s="15" t="s">
        <v>128</v>
      </c>
      <c r="F9" s="15">
        <v>15</v>
      </c>
      <c r="G9" s="35" t="s">
        <v>225</v>
      </c>
      <c r="H9" s="37">
        <v>46.9</v>
      </c>
      <c r="I9" s="15"/>
      <c r="J9" s="37"/>
      <c r="K9" s="15"/>
      <c r="L9" s="37"/>
      <c r="M9" s="15" t="s">
        <v>235</v>
      </c>
      <c r="N9" s="37">
        <v>915</v>
      </c>
      <c r="O9" s="15" t="s">
        <v>236</v>
      </c>
      <c r="P9" s="37">
        <v>19</v>
      </c>
      <c r="Q9" s="15" t="s">
        <v>128</v>
      </c>
      <c r="R9" s="37">
        <v>17</v>
      </c>
      <c r="S9" s="54"/>
      <c r="T9" s="37"/>
      <c r="U9" s="15"/>
      <c r="V9" s="37"/>
      <c r="W9" s="35"/>
      <c r="X9" s="37"/>
      <c r="Y9" s="35" t="s">
        <v>237</v>
      </c>
      <c r="Z9" s="15">
        <v>15</v>
      </c>
      <c r="AA9" s="35" t="s">
        <v>238</v>
      </c>
      <c r="AB9" s="15">
        <v>234</v>
      </c>
      <c r="AC9" s="35" t="s">
        <v>239</v>
      </c>
      <c r="AD9" s="15">
        <v>405</v>
      </c>
      <c r="AE9" s="35" t="s">
        <v>240</v>
      </c>
      <c r="AF9" s="15">
        <v>90</v>
      </c>
      <c r="AG9" s="35" t="s">
        <v>241</v>
      </c>
      <c r="AH9" s="15">
        <v>23</v>
      </c>
      <c r="AI9" s="35"/>
      <c r="AJ9" s="15"/>
      <c r="AK9" s="35"/>
      <c r="AL9" s="15"/>
      <c r="AM9" s="35" t="s">
        <v>128</v>
      </c>
      <c r="AN9" s="15">
        <v>80</v>
      </c>
      <c r="AO9" s="35"/>
      <c r="AP9" s="15"/>
      <c r="AQ9" s="35" t="s">
        <v>52</v>
      </c>
      <c r="AR9" s="15">
        <v>56</v>
      </c>
      <c r="AS9" s="35"/>
      <c r="AT9" s="15"/>
      <c r="AU9" s="35"/>
      <c r="AV9" s="37"/>
      <c r="AW9" s="15" t="s">
        <v>128</v>
      </c>
      <c r="AX9" s="37">
        <v>18</v>
      </c>
      <c r="AY9" s="35"/>
      <c r="AZ9" s="37"/>
      <c r="BA9" s="35" t="s">
        <v>177</v>
      </c>
      <c r="BB9" s="37">
        <v>125</v>
      </c>
      <c r="BC9" s="35"/>
      <c r="BD9" s="37">
        <v>-500</v>
      </c>
      <c r="BE9" s="35"/>
      <c r="BF9" s="37">
        <v>-200</v>
      </c>
      <c r="BG9" s="35"/>
      <c r="BH9" s="37"/>
      <c r="BI9" s="35" t="s">
        <v>242</v>
      </c>
      <c r="BJ9" s="37">
        <v>79</v>
      </c>
      <c r="BK9" s="35"/>
      <c r="BL9" s="37"/>
      <c r="BM9" s="7">
        <f>SUM(C9:BL9)</f>
        <v>1437.9</v>
      </c>
      <c r="BN9" s="5" t="s">
        <v>56</v>
      </c>
    </row>
    <row r="10" s="1" customFormat="1" spans="1:66">
      <c r="A10" s="35"/>
      <c r="B10" s="44" t="s">
        <v>18</v>
      </c>
      <c r="C10" s="35"/>
      <c r="D10" s="37"/>
      <c r="E10" s="15"/>
      <c r="F10" s="15"/>
      <c r="G10" s="35"/>
      <c r="H10" s="37"/>
      <c r="I10" s="15"/>
      <c r="J10" s="37"/>
      <c r="K10" s="15" t="s">
        <v>243</v>
      </c>
      <c r="L10" s="37">
        <v>76.66</v>
      </c>
      <c r="M10" s="15"/>
      <c r="N10" s="37"/>
      <c r="O10" s="15"/>
      <c r="P10" s="37"/>
      <c r="Q10" s="15"/>
      <c r="R10" s="37"/>
      <c r="S10" s="35"/>
      <c r="T10" s="37"/>
      <c r="U10" s="15"/>
      <c r="V10" s="37"/>
      <c r="W10" s="35"/>
      <c r="X10" s="37"/>
      <c r="Y10" s="35"/>
      <c r="Z10" s="15"/>
      <c r="AA10" s="35" t="s">
        <v>244</v>
      </c>
      <c r="AB10" s="15">
        <v>14</v>
      </c>
      <c r="AC10" s="35"/>
      <c r="AD10" s="15"/>
      <c r="AE10" s="35" t="s">
        <v>245</v>
      </c>
      <c r="AF10" s="15">
        <v>80</v>
      </c>
      <c r="AG10" s="35"/>
      <c r="AH10" s="15"/>
      <c r="AI10" s="35"/>
      <c r="AJ10" s="15"/>
      <c r="AK10" s="35"/>
      <c r="AL10" s="15"/>
      <c r="AM10" s="35"/>
      <c r="AN10" s="15"/>
      <c r="AO10" s="35"/>
      <c r="AP10" s="15"/>
      <c r="AQ10" s="35"/>
      <c r="AR10" s="15"/>
      <c r="AS10" s="35"/>
      <c r="AT10" s="15"/>
      <c r="AU10" s="35"/>
      <c r="AV10" s="37"/>
      <c r="AW10" s="15"/>
      <c r="AX10" s="37"/>
      <c r="AY10" s="35"/>
      <c r="AZ10" s="37"/>
      <c r="BA10" s="35"/>
      <c r="BB10" s="37"/>
      <c r="BC10" s="35"/>
      <c r="BD10" s="37"/>
      <c r="BE10" s="35"/>
      <c r="BF10" s="37"/>
      <c r="BG10" s="35"/>
      <c r="BH10" s="37"/>
      <c r="BI10" s="35"/>
      <c r="BJ10" s="37"/>
      <c r="BK10" s="35"/>
      <c r="BL10" s="37"/>
      <c r="BM10" s="7">
        <f t="shared" ref="BM10:BM23" si="0">SUM(C10:BL10)</f>
        <v>170.66</v>
      </c>
      <c r="BN10" s="5" t="s">
        <v>19</v>
      </c>
    </row>
    <row r="11" s="1" customFormat="1" spans="1:66">
      <c r="A11" s="35"/>
      <c r="B11" s="45" t="s">
        <v>20</v>
      </c>
      <c r="C11" s="35"/>
      <c r="D11" s="37"/>
      <c r="E11" s="15"/>
      <c r="F11" s="15"/>
      <c r="G11" s="35"/>
      <c r="H11" s="37"/>
      <c r="I11" s="15"/>
      <c r="J11" s="15"/>
      <c r="K11" s="35"/>
      <c r="L11" s="37"/>
      <c r="M11" s="35"/>
      <c r="N11" s="37"/>
      <c r="O11" s="35"/>
      <c r="P11" s="37"/>
      <c r="Q11" s="35"/>
      <c r="R11" s="37"/>
      <c r="S11" s="35"/>
      <c r="T11" s="37"/>
      <c r="U11" s="15"/>
      <c r="V11" s="37"/>
      <c r="W11" s="35"/>
      <c r="X11" s="37"/>
      <c r="Y11" s="35"/>
      <c r="Z11" s="15"/>
      <c r="AA11" s="35"/>
      <c r="AB11" s="15"/>
      <c r="AC11" s="35"/>
      <c r="AD11" s="15"/>
      <c r="AE11" s="35"/>
      <c r="AF11" s="15"/>
      <c r="AG11" s="35"/>
      <c r="AH11" s="15"/>
      <c r="AI11" s="35"/>
      <c r="AJ11" s="15"/>
      <c r="AK11" s="35"/>
      <c r="AL11" s="15"/>
      <c r="AM11" s="35"/>
      <c r="AN11" s="15"/>
      <c r="AO11" s="35"/>
      <c r="AP11" s="15"/>
      <c r="AQ11" s="35"/>
      <c r="AR11" s="15"/>
      <c r="AS11" s="35"/>
      <c r="AT11" s="15"/>
      <c r="AU11" s="35"/>
      <c r="AV11" s="37"/>
      <c r="AW11" s="15"/>
      <c r="AX11" s="37"/>
      <c r="AY11" s="35"/>
      <c r="AZ11" s="37"/>
      <c r="BA11" s="35"/>
      <c r="BB11" s="37"/>
      <c r="BC11" s="35"/>
      <c r="BD11" s="37"/>
      <c r="BE11" s="35"/>
      <c r="BF11" s="37"/>
      <c r="BG11" s="35"/>
      <c r="BH11" s="37"/>
      <c r="BI11" s="35"/>
      <c r="BJ11" s="37"/>
      <c r="BK11" s="35"/>
      <c r="BL11" s="37"/>
      <c r="BM11" s="7">
        <f t="shared" si="0"/>
        <v>0</v>
      </c>
      <c r="BN11" s="5" t="s">
        <v>20</v>
      </c>
    </row>
    <row r="12" s="1" customFormat="1" spans="1:66">
      <c r="A12" s="35"/>
      <c r="B12" s="45" t="s">
        <v>22</v>
      </c>
      <c r="C12" s="35" t="s">
        <v>23</v>
      </c>
      <c r="D12" s="15">
        <v>78</v>
      </c>
      <c r="E12" s="35"/>
      <c r="F12" s="37"/>
      <c r="G12" s="35" t="s">
        <v>212</v>
      </c>
      <c r="H12" s="37">
        <v>30</v>
      </c>
      <c r="I12" s="35"/>
      <c r="J12" s="37"/>
      <c r="K12" s="35"/>
      <c r="L12" s="37"/>
      <c r="M12" s="35"/>
      <c r="N12" s="37"/>
      <c r="O12" s="35" t="s">
        <v>212</v>
      </c>
      <c r="P12" s="37">
        <v>30</v>
      </c>
      <c r="Q12" s="35"/>
      <c r="R12" s="37"/>
      <c r="S12" s="35"/>
      <c r="T12" s="37"/>
      <c r="U12" s="15"/>
      <c r="V12" s="37"/>
      <c r="W12" s="35"/>
      <c r="X12" s="37"/>
      <c r="Y12" s="35"/>
      <c r="Z12" s="15"/>
      <c r="AA12" s="35" t="s">
        <v>212</v>
      </c>
      <c r="AB12" s="15">
        <v>25</v>
      </c>
      <c r="AC12" s="35"/>
      <c r="AD12" s="15"/>
      <c r="AE12" s="35"/>
      <c r="AF12" s="15"/>
      <c r="AG12" s="35"/>
      <c r="AH12" s="15"/>
      <c r="AI12" s="35"/>
      <c r="AJ12" s="15"/>
      <c r="AK12" s="35"/>
      <c r="AL12" s="15"/>
      <c r="AM12" s="35"/>
      <c r="AN12" s="15"/>
      <c r="AO12" s="35" t="s">
        <v>212</v>
      </c>
      <c r="AP12" s="15">
        <v>25</v>
      </c>
      <c r="AQ12" s="35"/>
      <c r="AR12" s="15"/>
      <c r="AS12" s="35"/>
      <c r="AT12" s="15"/>
      <c r="AU12" s="35"/>
      <c r="AV12" s="37"/>
      <c r="AW12" s="15"/>
      <c r="AX12" s="37"/>
      <c r="AY12" s="35"/>
      <c r="AZ12" s="37"/>
      <c r="BA12" s="35"/>
      <c r="BB12" s="37"/>
      <c r="BC12" s="35"/>
      <c r="BD12" s="37"/>
      <c r="BE12" s="35" t="s">
        <v>212</v>
      </c>
      <c r="BF12" s="37">
        <v>50</v>
      </c>
      <c r="BG12" s="35" t="s">
        <v>246</v>
      </c>
      <c r="BH12" s="37">
        <v>150</v>
      </c>
      <c r="BI12" s="35"/>
      <c r="BJ12" s="37"/>
      <c r="BK12" s="35"/>
      <c r="BL12" s="37"/>
      <c r="BM12" s="7">
        <f t="shared" si="0"/>
        <v>388</v>
      </c>
      <c r="BN12" s="5" t="s">
        <v>22</v>
      </c>
    </row>
    <row r="13" s="1" customFormat="1" spans="1:66">
      <c r="A13" s="35"/>
      <c r="B13" s="45" t="s">
        <v>25</v>
      </c>
      <c r="C13" s="35"/>
      <c r="D13" s="15"/>
      <c r="E13" s="35"/>
      <c r="F13" s="37"/>
      <c r="G13" s="35"/>
      <c r="H13" s="37"/>
      <c r="I13" s="35"/>
      <c r="J13" s="37"/>
      <c r="K13" s="35"/>
      <c r="L13" s="37"/>
      <c r="M13" s="35"/>
      <c r="N13" s="37"/>
      <c r="O13" s="35"/>
      <c r="P13" s="37"/>
      <c r="Q13" s="35"/>
      <c r="R13" s="37"/>
      <c r="S13" s="35"/>
      <c r="T13" s="37"/>
      <c r="U13" s="15"/>
      <c r="V13" s="37"/>
      <c r="W13" s="35"/>
      <c r="X13" s="37"/>
      <c r="Y13" s="35"/>
      <c r="Z13" s="15"/>
      <c r="AA13" s="35"/>
      <c r="AB13" s="15"/>
      <c r="AC13" s="35"/>
      <c r="AD13" s="15"/>
      <c r="AE13" s="35"/>
      <c r="AF13" s="15"/>
      <c r="AG13" s="35"/>
      <c r="AH13" s="15"/>
      <c r="AI13" s="35"/>
      <c r="AJ13" s="15"/>
      <c r="AK13" s="35"/>
      <c r="AL13" s="15"/>
      <c r="AM13" s="35"/>
      <c r="AN13" s="15"/>
      <c r="AO13" s="35"/>
      <c r="AP13" s="15"/>
      <c r="AQ13" s="35"/>
      <c r="AR13" s="15"/>
      <c r="AS13" s="35"/>
      <c r="AT13" s="15"/>
      <c r="AU13" s="35"/>
      <c r="AV13" s="37"/>
      <c r="AW13" s="15"/>
      <c r="AX13" s="37"/>
      <c r="AY13" s="35"/>
      <c r="AZ13" s="37"/>
      <c r="BA13" s="35"/>
      <c r="BB13" s="37"/>
      <c r="BC13" s="35"/>
      <c r="BD13" s="37">
        <v>258</v>
      </c>
      <c r="BE13" s="35"/>
      <c r="BF13" s="37">
        <v>144</v>
      </c>
      <c r="BG13" s="35"/>
      <c r="BH13" s="37">
        <v>122</v>
      </c>
      <c r="BI13" s="35"/>
      <c r="BJ13" s="37">
        <v>83</v>
      </c>
      <c r="BK13" s="35"/>
      <c r="BL13" s="37">
        <v>107</v>
      </c>
      <c r="BM13" s="7">
        <f t="shared" si="0"/>
        <v>714</v>
      </c>
      <c r="BN13" s="5" t="s">
        <v>25</v>
      </c>
    </row>
    <row r="14" s="1" customFormat="1" spans="1:66">
      <c r="A14" s="10" t="s">
        <v>26</v>
      </c>
      <c r="B14" s="46" t="s">
        <v>27</v>
      </c>
      <c r="C14" s="5"/>
      <c r="D14" s="10"/>
      <c r="E14" s="5" t="s">
        <v>218</v>
      </c>
      <c r="F14" s="10">
        <v>10</v>
      </c>
      <c r="G14" s="5"/>
      <c r="H14" s="10"/>
      <c r="I14" s="5"/>
      <c r="J14" s="10"/>
      <c r="K14" s="5"/>
      <c r="L14" s="10"/>
      <c r="M14" s="5"/>
      <c r="N14" s="10"/>
      <c r="O14" s="5" t="s">
        <v>247</v>
      </c>
      <c r="P14" s="10">
        <v>30</v>
      </c>
      <c r="Q14" s="5" t="s">
        <v>96</v>
      </c>
      <c r="R14" s="10">
        <v>30</v>
      </c>
      <c r="S14" s="5"/>
      <c r="T14" s="10"/>
      <c r="U14" s="5"/>
      <c r="V14" s="10"/>
      <c r="W14" s="5"/>
      <c r="X14" s="10"/>
      <c r="Y14" s="5"/>
      <c r="Z14" s="10"/>
      <c r="AA14" s="5" t="s">
        <v>248</v>
      </c>
      <c r="AB14" s="10">
        <v>9.9</v>
      </c>
      <c r="AC14" s="5"/>
      <c r="AD14" s="10"/>
      <c r="AE14" s="5"/>
      <c r="AF14" s="10"/>
      <c r="AG14" s="5"/>
      <c r="AH14" s="10"/>
      <c r="AI14" s="5"/>
      <c r="AJ14" s="10"/>
      <c r="AK14" s="5"/>
      <c r="AL14" s="10"/>
      <c r="AM14" s="5"/>
      <c r="AN14" s="10"/>
      <c r="AO14" s="5" t="s">
        <v>96</v>
      </c>
      <c r="AP14" s="10">
        <v>30</v>
      </c>
      <c r="AQ14" s="5"/>
      <c r="AR14" s="10"/>
      <c r="AS14" s="5"/>
      <c r="AT14" s="10"/>
      <c r="AU14" s="5"/>
      <c r="AV14" s="10"/>
      <c r="AW14" s="5"/>
      <c r="AX14" s="10"/>
      <c r="AY14" s="5"/>
      <c r="AZ14" s="10"/>
      <c r="BA14" s="5"/>
      <c r="BB14" s="10"/>
      <c r="BC14" s="5" t="s">
        <v>54</v>
      </c>
      <c r="BD14" s="10">
        <v>76</v>
      </c>
      <c r="BE14" s="5"/>
      <c r="BF14" s="10">
        <v>10</v>
      </c>
      <c r="BG14" s="5"/>
      <c r="BH14" s="10"/>
      <c r="BI14" s="10"/>
      <c r="BJ14" s="10"/>
      <c r="BK14" s="10"/>
      <c r="BL14" s="10"/>
      <c r="BM14" s="7">
        <f t="shared" si="0"/>
        <v>195.9</v>
      </c>
      <c r="BN14" s="5" t="s">
        <v>27</v>
      </c>
    </row>
    <row r="15" s="1" customFormat="1" spans="1:66">
      <c r="A15" s="10" t="s">
        <v>29</v>
      </c>
      <c r="B15" s="46" t="s">
        <v>30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 t="s">
        <v>242</v>
      </c>
      <c r="AV15" s="10">
        <v>151</v>
      </c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151</v>
      </c>
      <c r="BN15" s="5" t="s">
        <v>31</v>
      </c>
    </row>
    <row r="16" s="1" customFormat="1" spans="1:66">
      <c r="A16" s="10" t="s">
        <v>32</v>
      </c>
      <c r="B16" s="46" t="s">
        <v>33</v>
      </c>
      <c r="C16" s="5"/>
      <c r="D16" s="10"/>
      <c r="E16" s="5" t="s">
        <v>249</v>
      </c>
      <c r="F16" s="10">
        <v>13.8</v>
      </c>
      <c r="G16" s="5"/>
      <c r="H16" s="10"/>
      <c r="I16" s="5" t="s">
        <v>250</v>
      </c>
      <c r="J16" s="10">
        <v>63</v>
      </c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 t="s">
        <v>237</v>
      </c>
      <c r="Z16" s="10">
        <v>15</v>
      </c>
      <c r="AA16" s="5"/>
      <c r="AB16" s="10"/>
      <c r="AC16" s="5" t="s">
        <v>251</v>
      </c>
      <c r="AD16" s="10">
        <v>29</v>
      </c>
      <c r="AE16" s="5"/>
      <c r="AF16" s="10"/>
      <c r="AG16" s="5"/>
      <c r="AH16" s="10"/>
      <c r="AI16" s="5"/>
      <c r="AJ16" s="10"/>
      <c r="AK16" s="5" t="s">
        <v>252</v>
      </c>
      <c r="AL16" s="10">
        <v>6.5</v>
      </c>
      <c r="AM16" s="5"/>
      <c r="AN16" s="10"/>
      <c r="AO16" s="5"/>
      <c r="AP16" s="10"/>
      <c r="AQ16" s="5" t="s">
        <v>253</v>
      </c>
      <c r="AR16" s="10">
        <v>68</v>
      </c>
      <c r="AS16" s="5" t="s">
        <v>254</v>
      </c>
      <c r="AT16" s="10">
        <v>55</v>
      </c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/>
      <c r="BJ16" s="10"/>
      <c r="BK16" s="10"/>
      <c r="BL16" s="10"/>
      <c r="BM16" s="7">
        <f t="shared" si="0"/>
        <v>250.3</v>
      </c>
      <c r="BN16" s="5" t="s">
        <v>34</v>
      </c>
    </row>
    <row r="17" s="1" customFormat="1" spans="1:66">
      <c r="A17" s="10" t="s">
        <v>35</v>
      </c>
      <c r="B17" s="46" t="s">
        <v>36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 t="s">
        <v>255</v>
      </c>
      <c r="AH17" s="10">
        <v>169</v>
      </c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169</v>
      </c>
      <c r="BN17" s="5" t="s">
        <v>36</v>
      </c>
    </row>
    <row r="18" s="1" customFormat="1" ht="17" spans="1:66">
      <c r="A18" s="11" t="s">
        <v>37</v>
      </c>
      <c r="B18" s="10" t="s">
        <v>38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 t="s">
        <v>256</v>
      </c>
      <c r="AD18" s="10">
        <v>42</v>
      </c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 t="s">
        <v>257</v>
      </c>
      <c r="BJ18" s="10">
        <v>78</v>
      </c>
      <c r="BK18" s="5"/>
      <c r="BL18" s="10"/>
      <c r="BM18" s="7">
        <f t="shared" si="0"/>
        <v>120</v>
      </c>
      <c r="BN18" s="5" t="s">
        <v>38</v>
      </c>
    </row>
    <row r="19" s="1" customFormat="1" spans="1:66">
      <c r="A19" s="10"/>
      <c r="B19" s="12" t="s">
        <v>40</v>
      </c>
      <c r="C19" s="10">
        <f>SUM(C3:D18)</f>
        <v>123.8</v>
      </c>
      <c r="D19" s="8"/>
      <c r="E19" s="10">
        <f>SUM(E3:F18)</f>
        <v>166.3</v>
      </c>
      <c r="F19" s="8"/>
      <c r="G19" s="10">
        <f>SUM(G3:H18)</f>
        <v>109</v>
      </c>
      <c r="H19" s="8"/>
      <c r="I19" s="10">
        <f>SUM(I3:J18)</f>
        <v>96.6</v>
      </c>
      <c r="J19" s="8"/>
      <c r="K19" s="10">
        <f>SUM(K3:L18)</f>
        <v>120.76</v>
      </c>
      <c r="L19" s="8"/>
      <c r="M19" s="10">
        <f>SUM(M3:N18)</f>
        <v>946</v>
      </c>
      <c r="N19" s="8"/>
      <c r="O19" s="10">
        <f>SUM(O3:P18)</f>
        <v>103</v>
      </c>
      <c r="P19" s="8"/>
      <c r="Q19" s="10">
        <f>SUM(Q3:R18)</f>
        <v>73.5</v>
      </c>
      <c r="R19" s="8"/>
      <c r="S19" s="10">
        <f>SUM(S3:T18)</f>
        <v>27.5</v>
      </c>
      <c r="T19" s="8"/>
      <c r="U19" s="10">
        <f>SUM(U3:V18)</f>
        <v>21.3</v>
      </c>
      <c r="V19" s="8"/>
      <c r="W19" s="10">
        <f>SUM(W3:X18)</f>
        <v>51.8</v>
      </c>
      <c r="X19" s="8"/>
      <c r="Y19" s="10">
        <f>SUM(Y3:Z18)</f>
        <v>57.1</v>
      </c>
      <c r="Z19" s="8"/>
      <c r="AA19" s="10">
        <f>SUM(AA3:AB18)</f>
        <v>307</v>
      </c>
      <c r="AB19" s="8"/>
      <c r="AC19" s="10">
        <f>SUM(AC3:AD18)</f>
        <v>505</v>
      </c>
      <c r="AD19" s="8"/>
      <c r="AE19" s="10">
        <f>SUM(AE3:AF18)</f>
        <v>170</v>
      </c>
      <c r="AF19" s="8"/>
      <c r="AG19" s="10">
        <f>SUM(AG3:AH18)</f>
        <v>234.3</v>
      </c>
      <c r="AH19" s="8"/>
      <c r="AI19" s="10">
        <f>SUM(AI3:AJ18)</f>
        <v>38.3</v>
      </c>
      <c r="AJ19" s="8"/>
      <c r="AK19" s="10">
        <f>SUM(AK3:AL18)</f>
        <v>66.8</v>
      </c>
      <c r="AL19" s="8"/>
      <c r="AM19" s="10">
        <f>SUM(AM3:AN18)</f>
        <v>162</v>
      </c>
      <c r="AN19" s="8"/>
      <c r="AO19" s="10">
        <f>SUM(AO3:AP18)</f>
        <v>108.5</v>
      </c>
      <c r="AP19" s="8"/>
      <c r="AQ19" s="10">
        <f>SUM(AQ3:AR18)</f>
        <v>164</v>
      </c>
      <c r="AR19" s="8"/>
      <c r="AS19" s="10">
        <f>SUM(AS3:AT18)</f>
        <v>68</v>
      </c>
      <c r="AT19" s="8"/>
      <c r="AU19" s="10">
        <f>SUM(AU3:AV18)</f>
        <v>205</v>
      </c>
      <c r="AV19" s="8"/>
      <c r="AW19" s="10">
        <f>SUM(AW3:AX18)</f>
        <v>63</v>
      </c>
      <c r="AX19" s="8"/>
      <c r="AY19" s="10">
        <f>SUM(AY3:AZ18)</f>
        <v>107</v>
      </c>
      <c r="AZ19" s="8"/>
      <c r="BA19" s="10">
        <f>SUM(BA3:BB18)</f>
        <v>173</v>
      </c>
      <c r="BB19" s="8"/>
      <c r="BC19" s="10">
        <f>SUM(BC3:BD18)</f>
        <v>126.5</v>
      </c>
      <c r="BD19" s="8"/>
      <c r="BE19" s="10">
        <f>SUM(BE3:BF18)</f>
        <v>163</v>
      </c>
      <c r="BF19" s="8"/>
      <c r="BG19" s="10">
        <f>SUM(BG3:BH18)</f>
        <v>526</v>
      </c>
      <c r="BH19" s="8"/>
      <c r="BI19" s="10">
        <f>SUM(BI3:BJ18)</f>
        <v>433.1</v>
      </c>
      <c r="BJ19" s="8"/>
      <c r="BK19" s="10">
        <f>SUM(BK3:BL18)</f>
        <v>256</v>
      </c>
      <c r="BL19" s="8"/>
      <c r="BM19" s="13">
        <f t="shared" si="0"/>
        <v>5773.16</v>
      </c>
      <c r="BN19" s="12" t="s">
        <v>40</v>
      </c>
    </row>
    <row r="20" s="30" customFormat="1" spans="1:66">
      <c r="A20" s="5" t="s">
        <v>41</v>
      </c>
      <c r="B20" s="14" t="s">
        <v>42</v>
      </c>
      <c r="C20" s="17"/>
      <c r="D20" s="47"/>
      <c r="E20" s="17"/>
      <c r="F20" s="47"/>
      <c r="G20" s="17"/>
      <c r="H20" s="47"/>
      <c r="I20" s="17"/>
      <c r="J20" s="47"/>
      <c r="K20" s="17"/>
      <c r="L20" s="47"/>
      <c r="M20" s="17"/>
      <c r="N20" s="47"/>
      <c r="O20" s="17"/>
      <c r="P20" s="47"/>
      <c r="Q20" s="17"/>
      <c r="R20" s="47"/>
      <c r="S20" s="17"/>
      <c r="T20" s="47"/>
      <c r="U20" s="17"/>
      <c r="V20" s="47"/>
      <c r="Y20" s="17"/>
      <c r="Z20" s="47"/>
      <c r="AA20" s="17"/>
      <c r="AB20" s="47"/>
      <c r="AI20" s="17"/>
      <c r="AJ20" s="47"/>
      <c r="AK20" s="17"/>
      <c r="AL20" s="47"/>
      <c r="AM20" s="17"/>
      <c r="AN20" s="47"/>
      <c r="AO20" s="17"/>
      <c r="AP20" s="47"/>
      <c r="AQ20" s="17"/>
      <c r="AR20" s="47"/>
      <c r="AS20" s="17"/>
      <c r="AT20" s="47"/>
      <c r="AU20" s="17"/>
      <c r="AV20" s="47"/>
      <c r="AW20" s="17"/>
      <c r="AX20" s="47"/>
      <c r="AY20" s="17"/>
      <c r="AZ20" s="47"/>
      <c r="BA20" s="17"/>
      <c r="BB20" s="47"/>
      <c r="BC20" s="17"/>
      <c r="BD20" s="47"/>
      <c r="BE20" s="17"/>
      <c r="BF20" s="47"/>
      <c r="BG20" s="17"/>
      <c r="BH20" s="47"/>
      <c r="BI20" s="47"/>
      <c r="BJ20" s="47"/>
      <c r="BK20" s="47"/>
      <c r="BL20" s="47"/>
      <c r="BM20" s="7">
        <f t="shared" si="0"/>
        <v>0</v>
      </c>
      <c r="BN20" s="14" t="s">
        <v>42</v>
      </c>
    </row>
    <row r="21" s="1" customFormat="1" spans="1:66">
      <c r="A21" s="15"/>
      <c r="B21" s="14" t="s">
        <v>43</v>
      </c>
      <c r="C21" s="48" t="s">
        <v>44</v>
      </c>
      <c r="D21" s="48">
        <v>2000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15" t="s">
        <v>258</v>
      </c>
      <c r="R21" s="37">
        <v>-16</v>
      </c>
      <c r="S21" s="48"/>
      <c r="T21" s="48"/>
      <c r="U21" s="48"/>
      <c r="V21" s="48"/>
      <c r="W21" s="55"/>
      <c r="X21" s="56"/>
      <c r="Y21" s="15" t="s">
        <v>258</v>
      </c>
      <c r="Z21" s="37">
        <v>-20</v>
      </c>
      <c r="AA21" s="15" t="s">
        <v>259</v>
      </c>
      <c r="AB21" s="37">
        <v>-19</v>
      </c>
      <c r="AC21" s="55"/>
      <c r="AD21" s="56"/>
      <c r="AE21" s="55" t="s">
        <v>260</v>
      </c>
      <c r="AF21" s="56">
        <v>-80</v>
      </c>
      <c r="AG21" s="55"/>
      <c r="AH21" s="56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13">
        <f t="shared" si="0"/>
        <v>1865</v>
      </c>
      <c r="BN21" s="14" t="s">
        <v>43</v>
      </c>
    </row>
    <row r="22" s="1" customFormat="1" spans="1:66">
      <c r="A22" s="15"/>
      <c r="B22" s="16" t="s">
        <v>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 t="s">
        <v>230</v>
      </c>
      <c r="T22" s="16">
        <v>1000</v>
      </c>
      <c r="U22" s="16" t="s">
        <v>230</v>
      </c>
      <c r="V22" s="16">
        <v>1000</v>
      </c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7"/>
      <c r="AP22" s="57"/>
      <c r="AQ22" s="57"/>
      <c r="AR22" s="5"/>
      <c r="AS22" s="5"/>
      <c r="AT22" s="5"/>
      <c r="AU22" s="5"/>
      <c r="AV22" s="5"/>
      <c r="AW22" s="5"/>
      <c r="AX22" s="5"/>
      <c r="AY22" s="48"/>
      <c r="AZ22" s="48"/>
      <c r="BA22" s="5"/>
      <c r="BB22" s="5"/>
      <c r="BC22" s="5"/>
      <c r="BD22" s="59"/>
      <c r="BE22" s="59"/>
      <c r="BF22" s="59"/>
      <c r="BG22" s="59"/>
      <c r="BH22" s="59"/>
      <c r="BI22" s="59"/>
      <c r="BJ22" s="59"/>
      <c r="BK22" s="59"/>
      <c r="BL22" s="59"/>
      <c r="BM22" s="7">
        <f t="shared" si="0"/>
        <v>2000</v>
      </c>
      <c r="BN22" s="16" t="s">
        <v>45</v>
      </c>
    </row>
    <row r="23" s="1" customFormat="1" spans="1:66">
      <c r="A23" s="15"/>
      <c r="B23" s="16" t="s">
        <v>46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 t="s">
        <v>261</v>
      </c>
      <c r="AF23" s="5">
        <v>750</v>
      </c>
      <c r="AG23" s="5"/>
      <c r="AH23" s="5"/>
      <c r="AI23" s="5"/>
      <c r="AJ23" s="5"/>
      <c r="AK23" s="5"/>
      <c r="AL23" s="5"/>
      <c r="AM23" s="5"/>
      <c r="AN23" s="5"/>
      <c r="AO23" s="57"/>
      <c r="AP23" s="57"/>
      <c r="AQ23" s="57"/>
      <c r="AR23" s="5"/>
      <c r="AS23" s="5"/>
      <c r="AT23" s="5"/>
      <c r="AU23" s="5"/>
      <c r="AV23" s="5"/>
      <c r="AW23" s="5"/>
      <c r="AX23" s="5"/>
      <c r="AY23" s="48"/>
      <c r="AZ23" s="48"/>
      <c r="BA23" s="5"/>
      <c r="BB23" s="5"/>
      <c r="BC23" s="5"/>
      <c r="BD23" s="59"/>
      <c r="BE23" s="59"/>
      <c r="BF23" s="59"/>
      <c r="BG23" s="59"/>
      <c r="BH23" s="59"/>
      <c r="BI23" s="59"/>
      <c r="BJ23" s="59"/>
      <c r="BK23" s="59"/>
      <c r="BL23" s="59"/>
      <c r="BM23" s="7">
        <f t="shared" si="0"/>
        <v>750</v>
      </c>
      <c r="BN23" s="16" t="s">
        <v>46</v>
      </c>
    </row>
    <row r="24" s="1" customFormat="1" ht="17.6" spans="1:65">
      <c r="A24" s="15"/>
      <c r="B24"/>
      <c r="C24"/>
      <c r="D24" s="30"/>
      <c r="E24" s="30"/>
      <c r="F24" s="30"/>
      <c r="G24" s="30"/>
      <c r="H24" s="30"/>
      <c r="I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5">
        <f>SUM(BC19:BL19)</f>
        <v>1504.6</v>
      </c>
      <c r="BD24" s="5"/>
      <c r="BE24" s="5"/>
      <c r="BF24" s="5"/>
      <c r="BG24" s="5"/>
      <c r="BH24" s="5"/>
      <c r="BI24" s="5"/>
      <c r="BJ24" s="5"/>
      <c r="BK24" s="5"/>
      <c r="BL24" s="5"/>
      <c r="BM24" s="60"/>
    </row>
    <row r="25" s="1" customFormat="1" ht="17.6" spans="1:65">
      <c r="A25" s="15"/>
      <c r="B25"/>
      <c r="C25"/>
      <c r="D25" s="49"/>
      <c r="E25" s="30"/>
      <c r="F25" s="30"/>
      <c r="G25" s="30"/>
      <c r="H25" s="30"/>
      <c r="I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0"/>
      <c r="BE25" s="60"/>
      <c r="BF25" s="60"/>
      <c r="BG25" s="60"/>
      <c r="BH25" s="60"/>
      <c r="BI25" s="60"/>
      <c r="BJ25" s="60"/>
      <c r="BK25" s="60"/>
      <c r="BL25" s="60"/>
      <c r="BM25" s="60"/>
    </row>
    <row r="26" s="1" customFormat="1" spans="1:65">
      <c r="A26" s="15"/>
      <c r="B26" s="30"/>
      <c r="C26" s="30"/>
      <c r="D26" s="30"/>
      <c r="E26" s="30"/>
      <c r="F26" s="30"/>
      <c r="G26" s="30"/>
      <c r="H26" s="30"/>
      <c r="I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0"/>
      <c r="BE26" s="60"/>
      <c r="BF26" s="60"/>
      <c r="BG26" s="60"/>
      <c r="BH26" s="60"/>
      <c r="BI26" s="60"/>
      <c r="BJ26" s="60"/>
      <c r="BK26" s="60"/>
      <c r="BL26" s="60"/>
      <c r="BM26" s="60"/>
    </row>
    <row r="27" s="1" customFormat="1" spans="1:65">
      <c r="A27" s="1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0"/>
      <c r="C28" s="30"/>
      <c r="D28" s="15"/>
      <c r="E28" s="15"/>
      <c r="F28" s="15"/>
      <c r="G28" s="15"/>
      <c r="H28" s="15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0"/>
      <c r="C29" s="30"/>
      <c r="D29" s="15"/>
      <c r="E29" s="15"/>
      <c r="F29" s="15"/>
      <c r="G29" s="15"/>
      <c r="H29" s="1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0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0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0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0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2">
    <mergeCell ref="C1:F1"/>
    <mergeCell ref="S1:Z1"/>
    <mergeCell ref="AK1:AL1"/>
    <mergeCell ref="BA1:BB1"/>
    <mergeCell ref="BE1:BF1"/>
    <mergeCell ref="BG1:BL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BC24:BL24"/>
    <mergeCell ref="A3:A6"/>
    <mergeCell ref="A7:A13"/>
    <mergeCell ref="BM3:BM6"/>
  </mergeCells>
  <pageMargins left="0.75" right="0.75" top="1" bottom="1" header="0.511805555555556" footer="0.511805555555556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L36"/>
  <sheetViews>
    <sheetView zoomScale="96" zoomScaleNormal="96" topLeftCell="AV1" workbookViewId="0">
      <pane xSplit="27740" topLeftCell="AX1" activePane="topLeft"/>
      <selection activeCell="BI14" sqref="BI14"/>
      <selection pane="topRight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5.57142857142857" style="1" customWidth="1"/>
    <col min="4" max="4" width="8.07142857142857" style="1" customWidth="1"/>
    <col min="5" max="5" width="3.57142857142857" style="1" customWidth="1"/>
    <col min="6" max="6" width="7.14285714285714" style="1" customWidth="1"/>
    <col min="7" max="7" width="11.7142857142857" style="1" customWidth="1"/>
    <col min="8" max="8" width="7.14285714285714" style="1" customWidth="1"/>
    <col min="9" max="9" width="7.57142857142857" style="1" customWidth="1"/>
    <col min="10" max="10" width="7.14285714285714" style="1" customWidth="1"/>
    <col min="11" max="11" width="5.57142857142857" style="1" customWidth="1"/>
    <col min="12" max="12" width="6.21428571428571" style="1" customWidth="1"/>
    <col min="13" max="13" width="11.7142857142857" style="1" customWidth="1"/>
    <col min="14" max="14" width="6.21428571428571" style="1" customWidth="1"/>
    <col min="15" max="15" width="14" style="1" customWidth="1"/>
    <col min="16" max="16" width="6.21428571428571" style="1" customWidth="1"/>
    <col min="17" max="17" width="7.57142857142857" style="1" customWidth="1"/>
    <col min="18" max="18" width="6.21428571428571" style="1" customWidth="1"/>
    <col min="19" max="19" width="5.57142857142857" style="1" customWidth="1"/>
    <col min="20" max="20" width="7.14285714285714" style="1" customWidth="1"/>
    <col min="21" max="21" width="5.57142857142857" style="1" customWidth="1"/>
    <col min="22" max="22" width="7.14285714285714" style="1" customWidth="1"/>
    <col min="23" max="23" width="7.57142857142857" style="1" customWidth="1"/>
    <col min="24" max="24" width="7.14285714285714" style="1" customWidth="1"/>
    <col min="25" max="25" width="5.57142857142857" style="1" customWidth="1"/>
    <col min="26" max="26" width="7.14285714285714" style="1" customWidth="1"/>
    <col min="27" max="27" width="7.57142857142857" style="1" customWidth="1"/>
    <col min="28" max="28" width="7.78571428571429" style="1" customWidth="1"/>
    <col min="29" max="29" width="5.57142857142857" style="1" customWidth="1"/>
    <col min="30" max="30" width="6.21428571428571" style="1" customWidth="1"/>
    <col min="31" max="31" width="9.57142857142857" style="1" customWidth="1"/>
    <col min="32" max="32" width="7.14285714285714" style="1" customWidth="1"/>
    <col min="33" max="33" width="7.57142857142857" style="1" customWidth="1"/>
    <col min="34" max="34" width="7.78571428571429" style="1" customWidth="1"/>
    <col min="35" max="35" width="5.57142857142857" style="1" customWidth="1"/>
    <col min="36" max="36" width="7.14285714285714" style="1" customWidth="1"/>
    <col min="37" max="37" width="14" style="1" customWidth="1"/>
    <col min="38" max="38" width="7.14285714285714" style="1" customWidth="1"/>
    <col min="39" max="39" width="9.57142857142857" style="1" customWidth="1"/>
    <col min="40" max="40" width="8.07142857142857" style="1" customWidth="1"/>
    <col min="41" max="41" width="3.57142857142857" style="1" customWidth="1"/>
    <col min="42" max="42" width="7.14285714285714" style="1" customWidth="1"/>
    <col min="43" max="43" width="7.57142857142857" style="1" customWidth="1"/>
    <col min="44" max="44" width="7.14285714285714" style="1" customWidth="1"/>
    <col min="45" max="45" width="5.57142857142857" style="1" customWidth="1"/>
    <col min="46" max="46" width="6.21428571428571" style="1" customWidth="1"/>
    <col min="47" max="47" width="3.57142857142857" style="1" customWidth="1"/>
    <col min="48" max="48" width="6.85714285714286" style="1" customWidth="1"/>
    <col min="49" max="49" width="3.57142857142857" style="1" customWidth="1"/>
    <col min="50" max="50" width="8.07142857142857" style="1" customWidth="1"/>
    <col min="51" max="51" width="14" style="1" customWidth="1"/>
    <col min="52" max="52" width="8.07142857142857" style="1" customWidth="1"/>
    <col min="53" max="53" width="5.57142857142857" style="1" customWidth="1"/>
    <col min="54" max="54" width="7.14285714285714" style="1" customWidth="1"/>
    <col min="55" max="55" width="15.4285714285714" style="1" customWidth="1"/>
    <col min="56" max="56" width="6.21428571428571" style="1" customWidth="1"/>
    <col min="57" max="57" width="7.57142857142857" style="1" customWidth="1"/>
    <col min="58" max="58" width="8.07142857142857" style="1" customWidth="1"/>
    <col min="59" max="59" width="5.57142857142857" style="1" customWidth="1"/>
    <col min="60" max="60" width="8.07142857142857" style="1" customWidth="1"/>
    <col min="61" max="61" width="7.57142857142857" style="1" customWidth="1"/>
    <col min="62" max="62" width="7.14285714285714" style="1" customWidth="1"/>
    <col min="63" max="63" width="8.5" style="1" customWidth="1"/>
    <col min="64" max="64" width="14" style="1" customWidth="1"/>
    <col min="65" max="14411" width="8.24107142857143" style="1"/>
    <col min="14412" max="16384" width="9.11607142857143" style="1"/>
  </cols>
  <sheetData>
    <row r="1" s="1" customFormat="1" spans="3:58">
      <c r="C1" s="28" t="s">
        <v>262</v>
      </c>
      <c r="D1" s="28"/>
      <c r="E1" s="28"/>
      <c r="F1" s="28"/>
      <c r="G1" s="28"/>
      <c r="H1" s="28"/>
      <c r="I1" s="50"/>
      <c r="J1" s="50"/>
      <c r="K1" s="50"/>
      <c r="L1" s="50"/>
      <c r="M1" s="50"/>
      <c r="N1" s="50"/>
      <c r="O1" s="50"/>
      <c r="P1" s="50"/>
      <c r="Q1" s="50"/>
      <c r="R1" s="50"/>
      <c r="S1" s="28"/>
      <c r="T1" s="28"/>
      <c r="U1" s="28"/>
      <c r="V1" s="28"/>
      <c r="W1" s="28"/>
      <c r="X1" s="28"/>
      <c r="Y1" s="28"/>
      <c r="Z1" s="28"/>
      <c r="AK1" s="16"/>
      <c r="AL1" s="16"/>
      <c r="BA1" s="58"/>
      <c r="BB1" s="58"/>
      <c r="BE1" s="61"/>
      <c r="BF1" s="61"/>
    </row>
    <row r="2" s="1" customFormat="1" spans="1:64">
      <c r="A2" s="32"/>
      <c r="B2" s="33" t="s">
        <v>1</v>
      </c>
      <c r="C2" s="34">
        <v>44440</v>
      </c>
      <c r="D2" s="3"/>
      <c r="E2" s="34">
        <v>44441</v>
      </c>
      <c r="F2" s="3"/>
      <c r="G2" s="34">
        <v>44442</v>
      </c>
      <c r="H2" s="3"/>
      <c r="I2" s="34">
        <v>44443</v>
      </c>
      <c r="J2" s="3"/>
      <c r="K2" s="34">
        <v>44444</v>
      </c>
      <c r="L2" s="3"/>
      <c r="M2" s="34">
        <v>44445</v>
      </c>
      <c r="N2" s="3"/>
      <c r="O2" s="34">
        <v>44446</v>
      </c>
      <c r="P2" s="3"/>
      <c r="Q2" s="34">
        <v>44447</v>
      </c>
      <c r="R2" s="3"/>
      <c r="S2" s="34">
        <v>44448</v>
      </c>
      <c r="T2" s="3"/>
      <c r="U2" s="34">
        <v>44449</v>
      </c>
      <c r="V2" s="3"/>
      <c r="W2" s="34">
        <v>44450</v>
      </c>
      <c r="X2" s="3"/>
      <c r="Y2" s="34">
        <v>44451</v>
      </c>
      <c r="Z2" s="3"/>
      <c r="AA2" s="34">
        <v>44452</v>
      </c>
      <c r="AB2" s="3"/>
      <c r="AC2" s="34">
        <v>44453</v>
      </c>
      <c r="AD2" s="3"/>
      <c r="AE2" s="34">
        <v>44454</v>
      </c>
      <c r="AF2" s="3"/>
      <c r="AG2" s="34">
        <v>44455</v>
      </c>
      <c r="AH2" s="3"/>
      <c r="AI2" s="34">
        <v>44456</v>
      </c>
      <c r="AJ2" s="3"/>
      <c r="AK2" s="34">
        <v>44457</v>
      </c>
      <c r="AL2" s="3"/>
      <c r="AM2" s="34">
        <v>44458</v>
      </c>
      <c r="AN2" s="3"/>
      <c r="AO2" s="34">
        <v>44459</v>
      </c>
      <c r="AP2" s="3"/>
      <c r="AQ2" s="34">
        <v>44460</v>
      </c>
      <c r="AR2" s="3"/>
      <c r="AS2" s="34">
        <v>44461</v>
      </c>
      <c r="AT2" s="3"/>
      <c r="AU2" s="34">
        <v>44462</v>
      </c>
      <c r="AV2" s="3"/>
      <c r="AW2" s="34">
        <v>44463</v>
      </c>
      <c r="AX2" s="3"/>
      <c r="AY2" s="34">
        <v>44464</v>
      </c>
      <c r="AZ2" s="3"/>
      <c r="BA2" s="34">
        <v>44465</v>
      </c>
      <c r="BB2" s="3"/>
      <c r="BC2" s="34">
        <v>44466</v>
      </c>
      <c r="BD2" s="3"/>
      <c r="BE2" s="34">
        <v>44467</v>
      </c>
      <c r="BF2" s="3"/>
      <c r="BG2" s="34">
        <v>44468</v>
      </c>
      <c r="BH2" s="3"/>
      <c r="BI2" s="34">
        <v>44469</v>
      </c>
      <c r="BJ2" s="3"/>
      <c r="BK2" s="34" t="s">
        <v>2</v>
      </c>
      <c r="BL2" s="2" t="s">
        <v>1</v>
      </c>
    </row>
    <row r="3" s="1" customFormat="1" spans="1:64">
      <c r="A3" s="35" t="s">
        <v>3</v>
      </c>
      <c r="B3" s="36" t="s">
        <v>4</v>
      </c>
      <c r="C3" s="35"/>
      <c r="D3" s="37"/>
      <c r="E3" s="51"/>
      <c r="F3" s="52"/>
      <c r="G3" s="15"/>
      <c r="H3" s="37"/>
      <c r="I3" s="35"/>
      <c r="J3" s="37"/>
      <c r="K3" s="35"/>
      <c r="L3" s="37"/>
      <c r="M3" s="35"/>
      <c r="N3" s="37"/>
      <c r="O3" s="35"/>
      <c r="P3" s="37"/>
      <c r="Q3" s="35"/>
      <c r="R3" s="37"/>
      <c r="S3" s="35"/>
      <c r="T3" s="37">
        <v>6.5</v>
      </c>
      <c r="U3" s="15"/>
      <c r="V3" s="37"/>
      <c r="W3" s="35"/>
      <c r="X3" s="37"/>
      <c r="Y3" s="35"/>
      <c r="Z3" s="15"/>
      <c r="AA3" s="35"/>
      <c r="AB3" s="15"/>
      <c r="AC3" s="35"/>
      <c r="AD3" s="15">
        <v>6.8</v>
      </c>
      <c r="AE3" s="35"/>
      <c r="AF3" s="15"/>
      <c r="AG3" s="35"/>
      <c r="AH3" s="15"/>
      <c r="AI3" s="35"/>
      <c r="AJ3" s="15"/>
      <c r="AK3" s="35"/>
      <c r="AL3" s="15"/>
      <c r="AM3" s="35"/>
      <c r="AN3" s="15"/>
      <c r="AO3" s="35"/>
      <c r="AP3" s="15"/>
      <c r="AQ3" s="35"/>
      <c r="AR3" s="15"/>
      <c r="AS3" s="35"/>
      <c r="AT3" s="15"/>
      <c r="AU3" s="35"/>
      <c r="AV3" s="37"/>
      <c r="AW3" s="15"/>
      <c r="AX3" s="37"/>
      <c r="AY3" s="35"/>
      <c r="AZ3" s="37"/>
      <c r="BA3" s="35"/>
      <c r="BB3" s="37"/>
      <c r="BC3" s="35"/>
      <c r="BD3" s="37"/>
      <c r="BE3" s="35"/>
      <c r="BF3" s="62"/>
      <c r="BG3" s="35"/>
      <c r="BH3" s="37"/>
      <c r="BI3" s="35"/>
      <c r="BJ3" s="37"/>
      <c r="BK3" s="7">
        <f>SUM(C3:BJ6)</f>
        <v>2352.6</v>
      </c>
      <c r="BL3" s="29" t="s">
        <v>4</v>
      </c>
    </row>
    <row r="4" s="1" customFormat="1" spans="1:64">
      <c r="A4" s="35"/>
      <c r="B4" s="36" t="s">
        <v>5</v>
      </c>
      <c r="C4" s="35"/>
      <c r="D4" s="37">
        <v>224</v>
      </c>
      <c r="E4" s="15"/>
      <c r="F4" s="37">
        <v>50</v>
      </c>
      <c r="G4" s="15"/>
      <c r="H4" s="37">
        <v>120</v>
      </c>
      <c r="I4" s="35"/>
      <c r="J4" s="37"/>
      <c r="K4" s="35"/>
      <c r="L4" s="37"/>
      <c r="M4" s="35"/>
      <c r="N4" s="37">
        <v>14</v>
      </c>
      <c r="O4" s="35"/>
      <c r="P4" s="37">
        <v>12</v>
      </c>
      <c r="Q4" s="35"/>
      <c r="R4" s="37">
        <v>12</v>
      </c>
      <c r="S4" s="35"/>
      <c r="T4" s="37"/>
      <c r="U4" s="15"/>
      <c r="V4" s="37">
        <v>13</v>
      </c>
      <c r="W4" s="35"/>
      <c r="X4" s="37">
        <v>60</v>
      </c>
      <c r="Y4" s="35"/>
      <c r="Z4" s="15"/>
      <c r="AA4" s="35"/>
      <c r="AB4" s="15"/>
      <c r="AC4" s="35"/>
      <c r="AD4" s="15">
        <v>13</v>
      </c>
      <c r="AE4" s="35"/>
      <c r="AF4" s="15">
        <v>13</v>
      </c>
      <c r="AG4" s="35"/>
      <c r="AH4" s="15">
        <v>48</v>
      </c>
      <c r="AI4" s="35"/>
      <c r="AJ4" s="15">
        <v>48</v>
      </c>
      <c r="AK4" s="35"/>
      <c r="AL4" s="15">
        <v>13</v>
      </c>
      <c r="AM4" s="35"/>
      <c r="AN4" s="15">
        <v>15</v>
      </c>
      <c r="AO4" s="35"/>
      <c r="AP4" s="15"/>
      <c r="AQ4" s="35"/>
      <c r="AR4" s="15"/>
      <c r="AS4" s="35"/>
      <c r="AT4" s="15">
        <v>14</v>
      </c>
      <c r="AU4" s="35"/>
      <c r="AV4" s="37">
        <v>14</v>
      </c>
      <c r="AW4" s="15"/>
      <c r="AX4" s="37">
        <v>13</v>
      </c>
      <c r="AY4" s="35" t="s">
        <v>263</v>
      </c>
      <c r="AZ4" s="37">
        <v>139</v>
      </c>
      <c r="BA4" s="35"/>
      <c r="BB4" s="37">
        <v>8</v>
      </c>
      <c r="BC4" s="35"/>
      <c r="BD4" s="37">
        <v>11</v>
      </c>
      <c r="BE4" s="35"/>
      <c r="BF4" s="62">
        <v>13</v>
      </c>
      <c r="BG4" s="35"/>
      <c r="BH4" s="37">
        <v>11</v>
      </c>
      <c r="BI4" s="35"/>
      <c r="BJ4" s="37">
        <v>11</v>
      </c>
      <c r="BK4" s="7"/>
      <c r="BL4" s="29" t="s">
        <v>5</v>
      </c>
    </row>
    <row r="5" s="1" customFormat="1" spans="1:64">
      <c r="A5" s="35"/>
      <c r="B5" s="36" t="s">
        <v>6</v>
      </c>
      <c r="C5" s="35"/>
      <c r="D5" s="15"/>
      <c r="E5" s="35"/>
      <c r="F5" s="15">
        <v>158</v>
      </c>
      <c r="G5" s="35"/>
      <c r="H5" s="15"/>
      <c r="I5" s="35"/>
      <c r="J5" s="37"/>
      <c r="K5" s="35"/>
      <c r="L5" s="37">
        <v>12</v>
      </c>
      <c r="M5" s="35"/>
      <c r="N5" s="37">
        <v>36</v>
      </c>
      <c r="O5" s="35"/>
      <c r="P5" s="37">
        <v>20</v>
      </c>
      <c r="Q5" s="35"/>
      <c r="R5" s="37">
        <v>80</v>
      </c>
      <c r="S5" s="35"/>
      <c r="T5" s="37">
        <v>13</v>
      </c>
      <c r="U5" s="15"/>
      <c r="V5" s="37">
        <v>17</v>
      </c>
      <c r="W5" s="35"/>
      <c r="X5" s="37"/>
      <c r="Y5" s="35"/>
      <c r="Z5" s="15">
        <v>132</v>
      </c>
      <c r="AA5" s="35"/>
      <c r="AB5" s="15">
        <v>13</v>
      </c>
      <c r="AC5" s="35"/>
      <c r="AD5" s="15"/>
      <c r="AE5" s="35"/>
      <c r="AF5" s="15"/>
      <c r="AG5" s="35"/>
      <c r="AH5" s="15">
        <v>82.5</v>
      </c>
      <c r="AI5" s="35"/>
      <c r="AJ5" s="15"/>
      <c r="AK5" s="35"/>
      <c r="AL5" s="15">
        <v>18</v>
      </c>
      <c r="AM5" s="35"/>
      <c r="AN5" s="15"/>
      <c r="AO5" s="35"/>
      <c r="AP5" s="15"/>
      <c r="AQ5" s="35"/>
      <c r="AR5" s="15"/>
      <c r="AS5" s="35"/>
      <c r="AT5" s="15">
        <v>46</v>
      </c>
      <c r="AU5" s="35"/>
      <c r="AV5" s="37">
        <v>14.6</v>
      </c>
      <c r="AW5" s="15"/>
      <c r="AX5" s="37">
        <v>38</v>
      </c>
      <c r="AY5" s="35"/>
      <c r="AZ5" s="37">
        <v>23.5</v>
      </c>
      <c r="BA5" s="35"/>
      <c r="BB5" s="37">
        <v>10.8</v>
      </c>
      <c r="BC5" s="35"/>
      <c r="BD5" s="37">
        <v>13</v>
      </c>
      <c r="BE5" s="35"/>
      <c r="BF5" s="62"/>
      <c r="BG5" s="35"/>
      <c r="BH5" s="37">
        <v>115</v>
      </c>
      <c r="BI5" s="35"/>
      <c r="BJ5" s="37">
        <v>48</v>
      </c>
      <c r="BK5" s="7"/>
      <c r="BL5" s="29" t="s">
        <v>6</v>
      </c>
    </row>
    <row r="6" s="1" customFormat="1" spans="1:64">
      <c r="A6" s="38"/>
      <c r="B6" s="39" t="s">
        <v>8</v>
      </c>
      <c r="C6" s="38"/>
      <c r="D6" s="40">
        <v>40</v>
      </c>
      <c r="E6" s="38"/>
      <c r="F6" s="40"/>
      <c r="G6" s="38"/>
      <c r="H6" s="40">
        <v>60</v>
      </c>
      <c r="I6" s="38"/>
      <c r="J6" s="53">
        <v>37.5</v>
      </c>
      <c r="K6" s="38"/>
      <c r="L6" s="53">
        <v>25</v>
      </c>
      <c r="M6" s="38"/>
      <c r="N6" s="53"/>
      <c r="O6" s="38"/>
      <c r="P6" s="53"/>
      <c r="Q6" s="38"/>
      <c r="R6" s="53">
        <v>16.7</v>
      </c>
      <c r="S6" s="38"/>
      <c r="T6" s="53"/>
      <c r="U6" s="40"/>
      <c r="V6" s="53">
        <v>20.5</v>
      </c>
      <c r="W6" s="38"/>
      <c r="X6" s="53">
        <v>15.5</v>
      </c>
      <c r="Y6" s="38"/>
      <c r="Z6" s="40">
        <v>19</v>
      </c>
      <c r="AA6" s="38"/>
      <c r="AB6" s="40">
        <v>4</v>
      </c>
      <c r="AC6" s="38" t="s">
        <v>167</v>
      </c>
      <c r="AD6" s="40">
        <v>16.5</v>
      </c>
      <c r="AE6" s="38" t="s">
        <v>264</v>
      </c>
      <c r="AF6" s="40">
        <v>99.7</v>
      </c>
      <c r="AG6" s="38"/>
      <c r="AH6" s="40">
        <v>22</v>
      </c>
      <c r="AI6" s="38"/>
      <c r="AJ6" s="40"/>
      <c r="AK6" s="38"/>
      <c r="AL6" s="40">
        <v>5</v>
      </c>
      <c r="AM6" s="38"/>
      <c r="AN6" s="40"/>
      <c r="AO6" s="38"/>
      <c r="AP6" s="40"/>
      <c r="AQ6" s="38"/>
      <c r="AR6" s="40"/>
      <c r="AS6" s="38"/>
      <c r="AT6" s="40">
        <v>20</v>
      </c>
      <c r="AU6" s="38"/>
      <c r="AV6" s="53">
        <v>69.1</v>
      </c>
      <c r="AW6" s="40"/>
      <c r="AX6" s="53"/>
      <c r="AY6" s="38"/>
      <c r="AZ6" s="53">
        <v>14.5</v>
      </c>
      <c r="BA6" s="38"/>
      <c r="BB6" s="53"/>
      <c r="BC6" s="38"/>
      <c r="BD6" s="53">
        <v>25.9</v>
      </c>
      <c r="BE6" s="38"/>
      <c r="BF6" s="63">
        <v>10</v>
      </c>
      <c r="BG6" s="38"/>
      <c r="BH6" s="53">
        <v>39</v>
      </c>
      <c r="BI6" s="38"/>
      <c r="BJ6" s="53"/>
      <c r="BK6" s="7"/>
      <c r="BL6" s="5" t="s">
        <v>8</v>
      </c>
    </row>
    <row r="7" s="1" customFormat="1" spans="1:64">
      <c r="A7" s="41" t="s">
        <v>11</v>
      </c>
      <c r="B7" s="42" t="s">
        <v>12</v>
      </c>
      <c r="C7" s="35"/>
      <c r="D7" s="37"/>
      <c r="E7" s="51"/>
      <c r="F7" s="51">
        <v>9.5</v>
      </c>
      <c r="G7" s="41" t="s">
        <v>265</v>
      </c>
      <c r="H7" s="52">
        <v>326</v>
      </c>
      <c r="I7" s="51"/>
      <c r="J7" s="52">
        <v>20</v>
      </c>
      <c r="K7" s="51"/>
      <c r="L7" s="52">
        <v>10</v>
      </c>
      <c r="M7" s="51"/>
      <c r="N7" s="37">
        <v>3.6</v>
      </c>
      <c r="O7" s="51"/>
      <c r="P7" s="52"/>
      <c r="Q7" s="51"/>
      <c r="R7" s="52"/>
      <c r="S7" s="51"/>
      <c r="T7" s="37"/>
      <c r="U7" s="51"/>
      <c r="V7" s="52">
        <v>3.5</v>
      </c>
      <c r="W7" s="41"/>
      <c r="X7" s="52"/>
      <c r="Y7" s="41"/>
      <c r="Z7" s="51">
        <v>44.5</v>
      </c>
      <c r="AA7" s="41"/>
      <c r="AB7" s="51"/>
      <c r="AC7" s="41"/>
      <c r="AD7" s="51"/>
      <c r="AE7" s="41"/>
      <c r="AF7" s="51"/>
      <c r="AG7" s="41"/>
      <c r="AH7" s="51">
        <v>6</v>
      </c>
      <c r="AI7" s="41"/>
      <c r="AJ7" s="51">
        <v>4</v>
      </c>
      <c r="AK7" s="41"/>
      <c r="AL7" s="51"/>
      <c r="AM7" s="41" t="s">
        <v>266</v>
      </c>
      <c r="AN7" s="51">
        <v>128</v>
      </c>
      <c r="AO7" s="41"/>
      <c r="AP7" s="51"/>
      <c r="AQ7" s="41"/>
      <c r="AR7" s="51">
        <v>106</v>
      </c>
      <c r="AS7" s="41"/>
      <c r="AT7" s="51"/>
      <c r="AU7" s="41"/>
      <c r="AV7" s="52"/>
      <c r="AW7" s="51"/>
      <c r="AX7" s="52"/>
      <c r="AY7" s="41"/>
      <c r="AZ7" s="52">
        <v>20</v>
      </c>
      <c r="BA7" s="41"/>
      <c r="BB7" s="52"/>
      <c r="BC7" s="41"/>
      <c r="BD7" s="52"/>
      <c r="BE7" s="41"/>
      <c r="BF7" s="52">
        <v>18</v>
      </c>
      <c r="BG7" s="41"/>
      <c r="BH7" s="52">
        <v>24.36</v>
      </c>
      <c r="BI7" s="41"/>
      <c r="BJ7" s="52">
        <v>24.36</v>
      </c>
      <c r="BK7" s="7">
        <f>SUM(C7:BJ7)</f>
        <v>747.82</v>
      </c>
      <c r="BL7" s="5" t="s">
        <v>12</v>
      </c>
    </row>
    <row r="8" s="1" customFormat="1" spans="1:64">
      <c r="A8" s="35"/>
      <c r="B8" s="42" t="s">
        <v>13</v>
      </c>
      <c r="C8" s="35"/>
      <c r="D8" s="37"/>
      <c r="E8" s="15"/>
      <c r="F8" s="15"/>
      <c r="G8" s="35"/>
      <c r="H8" s="37"/>
      <c r="I8" s="15"/>
      <c r="J8" s="37"/>
      <c r="K8" s="15"/>
      <c r="L8" s="37"/>
      <c r="M8" s="15"/>
      <c r="N8" s="37"/>
      <c r="O8" s="15"/>
      <c r="P8" s="37"/>
      <c r="Q8" s="15"/>
      <c r="R8" s="37"/>
      <c r="S8" s="54"/>
      <c r="T8" s="37"/>
      <c r="U8" s="15"/>
      <c r="V8" s="37"/>
      <c r="W8" s="35"/>
      <c r="X8" s="37"/>
      <c r="Y8" s="35"/>
      <c r="Z8" s="15"/>
      <c r="AA8" s="35"/>
      <c r="AB8" s="15"/>
      <c r="AC8" s="35"/>
      <c r="AD8" s="15"/>
      <c r="AE8" s="35"/>
      <c r="AF8" s="15"/>
      <c r="AG8" s="35"/>
      <c r="AH8" s="15"/>
      <c r="AI8" s="35"/>
      <c r="AJ8" s="15"/>
      <c r="AK8" s="35"/>
      <c r="AL8" s="15"/>
      <c r="AM8" s="35"/>
      <c r="AN8" s="15"/>
      <c r="AO8" s="35"/>
      <c r="AP8" s="15"/>
      <c r="AQ8" s="35"/>
      <c r="AR8" s="15"/>
      <c r="AS8" s="35"/>
      <c r="AT8" s="15"/>
      <c r="AU8" s="35"/>
      <c r="AV8" s="37"/>
      <c r="AW8" s="15"/>
      <c r="AX8" s="37"/>
      <c r="AY8" s="35"/>
      <c r="AZ8" s="37"/>
      <c r="BA8" s="35"/>
      <c r="BB8" s="37"/>
      <c r="BC8" s="35"/>
      <c r="BD8" s="37"/>
      <c r="BE8" s="35"/>
      <c r="BF8" s="37"/>
      <c r="BG8" s="35"/>
      <c r="BH8" s="37"/>
      <c r="BI8" s="35"/>
      <c r="BJ8" s="37"/>
      <c r="BK8" s="7">
        <f>SUM(C8:BJ8)</f>
        <v>0</v>
      </c>
      <c r="BL8" s="5" t="s">
        <v>13</v>
      </c>
    </row>
    <row r="9" s="1" customFormat="1" spans="1:64">
      <c r="A9" s="35"/>
      <c r="B9" s="43" t="s">
        <v>56</v>
      </c>
      <c r="C9" s="35"/>
      <c r="D9" s="37"/>
      <c r="E9" s="15"/>
      <c r="F9" s="15"/>
      <c r="G9" s="35"/>
      <c r="H9" s="37"/>
      <c r="I9" s="15"/>
      <c r="J9" s="37"/>
      <c r="K9" s="15"/>
      <c r="L9" s="37"/>
      <c r="M9" s="15"/>
      <c r="N9" s="37"/>
      <c r="O9" s="15"/>
      <c r="P9" s="37"/>
      <c r="Q9" s="15"/>
      <c r="R9" s="37"/>
      <c r="S9" s="54" t="s">
        <v>171</v>
      </c>
      <c r="T9" s="37">
        <v>100</v>
      </c>
      <c r="U9" s="15"/>
      <c r="V9" s="37">
        <v>-80</v>
      </c>
      <c r="W9" s="35" t="s">
        <v>57</v>
      </c>
      <c r="X9" s="37">
        <v>100</v>
      </c>
      <c r="Y9" s="35"/>
      <c r="Z9" s="15"/>
      <c r="AA9" s="35"/>
      <c r="AB9" s="15">
        <v>-100</v>
      </c>
      <c r="AC9" s="35"/>
      <c r="AD9" s="15"/>
      <c r="AE9" s="35"/>
      <c r="AF9" s="15">
        <v>30</v>
      </c>
      <c r="AG9" s="35"/>
      <c r="AH9" s="15">
        <v>-100</v>
      </c>
      <c r="AI9" s="35"/>
      <c r="AJ9" s="15"/>
      <c r="AK9" s="35"/>
      <c r="AL9" s="15"/>
      <c r="AM9" s="35"/>
      <c r="AN9" s="15">
        <v>100</v>
      </c>
      <c r="AO9" s="35"/>
      <c r="AP9" s="15"/>
      <c r="AQ9" s="35"/>
      <c r="AR9" s="15">
        <v>152.1</v>
      </c>
      <c r="AS9" s="35"/>
      <c r="AT9" s="15"/>
      <c r="AU9" s="35"/>
      <c r="AV9" s="37">
        <v>-52.1</v>
      </c>
      <c r="AW9" s="15"/>
      <c r="AX9" s="37"/>
      <c r="AY9" s="35"/>
      <c r="AZ9" s="37"/>
      <c r="BA9" s="35"/>
      <c r="BB9" s="37"/>
      <c r="BC9" s="35"/>
      <c r="BD9" s="37"/>
      <c r="BE9" s="35"/>
      <c r="BF9" s="37">
        <v>20</v>
      </c>
      <c r="BG9" s="35"/>
      <c r="BH9" s="37">
        <v>-52.1</v>
      </c>
      <c r="BI9" s="35"/>
      <c r="BJ9" s="37"/>
      <c r="BK9" s="7">
        <f>SUM(C9:BJ9)</f>
        <v>117.9</v>
      </c>
      <c r="BL9" s="5" t="s">
        <v>56</v>
      </c>
    </row>
    <row r="10" s="1" customFormat="1" spans="1:64">
      <c r="A10" s="35"/>
      <c r="B10" s="44" t="s">
        <v>18</v>
      </c>
      <c r="C10" s="35"/>
      <c r="D10" s="37"/>
      <c r="E10" s="15"/>
      <c r="F10" s="15"/>
      <c r="G10" s="35"/>
      <c r="H10" s="37">
        <v>71</v>
      </c>
      <c r="I10" s="15"/>
      <c r="J10" s="37"/>
      <c r="K10" s="15"/>
      <c r="L10" s="37"/>
      <c r="M10" s="15"/>
      <c r="N10" s="37"/>
      <c r="O10" s="15"/>
      <c r="P10" s="37"/>
      <c r="Q10" s="15"/>
      <c r="R10" s="37"/>
      <c r="S10" s="35"/>
      <c r="T10" s="37"/>
      <c r="U10" s="15"/>
      <c r="V10" s="37"/>
      <c r="W10" s="35"/>
      <c r="X10" s="37"/>
      <c r="Y10" s="35"/>
      <c r="Z10" s="15"/>
      <c r="AA10" s="35"/>
      <c r="AB10" s="15"/>
      <c r="AC10" s="35"/>
      <c r="AD10" s="15"/>
      <c r="AE10" s="35"/>
      <c r="AF10" s="15"/>
      <c r="AG10" s="35"/>
      <c r="AH10" s="15"/>
      <c r="AI10" s="35"/>
      <c r="AJ10" s="15"/>
      <c r="AK10" s="35"/>
      <c r="AL10" s="15"/>
      <c r="AM10" s="35"/>
      <c r="AN10" s="15"/>
      <c r="AO10" s="35"/>
      <c r="AP10" s="15"/>
      <c r="AQ10" s="35"/>
      <c r="AR10" s="15"/>
      <c r="AS10" s="35"/>
      <c r="AT10" s="15"/>
      <c r="AU10" s="35"/>
      <c r="AV10" s="37"/>
      <c r="AW10" s="15"/>
      <c r="AX10" s="37"/>
      <c r="AY10" s="35"/>
      <c r="AZ10" s="37"/>
      <c r="BA10" s="35"/>
      <c r="BB10" s="37"/>
      <c r="BC10" s="35"/>
      <c r="BD10" s="37"/>
      <c r="BE10" s="35"/>
      <c r="BF10" s="37"/>
      <c r="BG10" s="35"/>
      <c r="BH10" s="37"/>
      <c r="BI10" s="35"/>
      <c r="BJ10" s="37"/>
      <c r="BK10" s="7">
        <f t="shared" ref="BK10:BK23" si="0">SUM(C10:BJ10)</f>
        <v>71</v>
      </c>
      <c r="BL10" s="5" t="s">
        <v>19</v>
      </c>
    </row>
    <row r="11" s="1" customFormat="1" spans="1:64">
      <c r="A11" s="35"/>
      <c r="B11" s="45" t="s">
        <v>20</v>
      </c>
      <c r="C11" s="35"/>
      <c r="D11" s="37"/>
      <c r="E11" s="15"/>
      <c r="F11" s="15"/>
      <c r="G11" s="35"/>
      <c r="H11" s="37"/>
      <c r="I11" s="15"/>
      <c r="J11" s="15"/>
      <c r="K11" s="35" t="s">
        <v>267</v>
      </c>
      <c r="L11" s="37">
        <v>10</v>
      </c>
      <c r="M11" s="35"/>
      <c r="N11" s="37"/>
      <c r="O11" s="35"/>
      <c r="P11" s="37"/>
      <c r="Q11" s="35"/>
      <c r="R11" s="37"/>
      <c r="S11" s="35"/>
      <c r="T11" s="37"/>
      <c r="U11" s="15"/>
      <c r="V11" s="37"/>
      <c r="W11" s="35"/>
      <c r="X11" s="37"/>
      <c r="Y11" s="35"/>
      <c r="Z11" s="15"/>
      <c r="AA11" s="35"/>
      <c r="AB11" s="15"/>
      <c r="AC11" s="35"/>
      <c r="AD11" s="15"/>
      <c r="AE11" s="35"/>
      <c r="AF11" s="15"/>
      <c r="AG11" s="35"/>
      <c r="AH11" s="15"/>
      <c r="AI11" s="35"/>
      <c r="AJ11" s="15"/>
      <c r="AK11" s="35"/>
      <c r="AL11" s="15"/>
      <c r="AM11" s="35"/>
      <c r="AN11" s="15"/>
      <c r="AO11" s="35"/>
      <c r="AP11" s="15"/>
      <c r="AQ11" s="35"/>
      <c r="AR11" s="15"/>
      <c r="AS11" s="35"/>
      <c r="AT11" s="15"/>
      <c r="AU11" s="35"/>
      <c r="AV11" s="37"/>
      <c r="AW11" s="15"/>
      <c r="AX11" s="37"/>
      <c r="AY11" s="35"/>
      <c r="AZ11" s="37"/>
      <c r="BA11" s="35"/>
      <c r="BB11" s="37"/>
      <c r="BC11" s="35"/>
      <c r="BD11" s="37"/>
      <c r="BE11" s="35"/>
      <c r="BF11" s="37"/>
      <c r="BG11" s="35"/>
      <c r="BH11" s="37"/>
      <c r="BI11" s="35"/>
      <c r="BJ11" s="37"/>
      <c r="BK11" s="7">
        <f t="shared" si="0"/>
        <v>10</v>
      </c>
      <c r="BL11" s="5" t="s">
        <v>20</v>
      </c>
    </row>
    <row r="12" s="1" customFormat="1" spans="1:64">
      <c r="A12" s="35"/>
      <c r="B12" s="45" t="s">
        <v>22</v>
      </c>
      <c r="C12" s="35" t="s">
        <v>268</v>
      </c>
      <c r="D12" s="15">
        <v>186</v>
      </c>
      <c r="E12" s="35"/>
      <c r="F12" s="37"/>
      <c r="G12" s="35" t="s">
        <v>269</v>
      </c>
      <c r="H12" s="37">
        <v>80</v>
      </c>
      <c r="I12" s="35"/>
      <c r="J12" s="37"/>
      <c r="K12" s="35"/>
      <c r="L12" s="37"/>
      <c r="M12" s="35"/>
      <c r="N12" s="37"/>
      <c r="O12" s="35"/>
      <c r="P12" s="37"/>
      <c r="Q12" s="35" t="s">
        <v>270</v>
      </c>
      <c r="R12" s="37">
        <v>45</v>
      </c>
      <c r="S12" s="35"/>
      <c r="T12" s="37"/>
      <c r="U12" s="15"/>
      <c r="V12" s="37"/>
      <c r="W12" s="35"/>
      <c r="X12" s="37"/>
      <c r="Y12" s="35"/>
      <c r="Z12" s="15"/>
      <c r="AA12" s="35"/>
      <c r="AB12" s="15"/>
      <c r="AC12" s="35"/>
      <c r="AD12" s="15"/>
      <c r="AE12" s="35"/>
      <c r="AF12" s="15"/>
      <c r="AG12" s="35"/>
      <c r="AH12" s="15"/>
      <c r="AI12" s="35"/>
      <c r="AJ12" s="15"/>
      <c r="AK12" s="35" t="s">
        <v>212</v>
      </c>
      <c r="AL12" s="15">
        <v>56</v>
      </c>
      <c r="AM12" s="35"/>
      <c r="AN12" s="15"/>
      <c r="AO12" s="35"/>
      <c r="AP12" s="15"/>
      <c r="AQ12" s="35"/>
      <c r="AR12" s="15"/>
      <c r="AS12" s="35"/>
      <c r="AT12" s="15"/>
      <c r="AU12" s="35"/>
      <c r="AV12" s="37"/>
      <c r="AW12" s="15"/>
      <c r="AX12" s="37"/>
      <c r="AY12" s="35"/>
      <c r="AZ12" s="37"/>
      <c r="BA12" s="35"/>
      <c r="BB12" s="37"/>
      <c r="BC12" s="35"/>
      <c r="BD12" s="37"/>
      <c r="BE12" s="35"/>
      <c r="BF12" s="37"/>
      <c r="BG12" s="35"/>
      <c r="BH12" s="37">
        <v>10</v>
      </c>
      <c r="BI12" s="35" t="s">
        <v>270</v>
      </c>
      <c r="BJ12" s="37">
        <v>500</v>
      </c>
      <c r="BK12" s="7">
        <f t="shared" si="0"/>
        <v>877</v>
      </c>
      <c r="BL12" s="5" t="s">
        <v>22</v>
      </c>
    </row>
    <row r="13" s="1" customFormat="1" spans="1:64">
      <c r="A13" s="35"/>
      <c r="B13" s="45" t="s">
        <v>25</v>
      </c>
      <c r="C13" s="35"/>
      <c r="D13" s="15">
        <v>108</v>
      </c>
      <c r="E13" s="35"/>
      <c r="F13" s="37"/>
      <c r="G13" s="35"/>
      <c r="H13" s="37">
        <v>114</v>
      </c>
      <c r="I13" s="35"/>
      <c r="J13" s="37">
        <v>147</v>
      </c>
      <c r="K13" s="35"/>
      <c r="L13" s="37"/>
      <c r="M13" s="35"/>
      <c r="N13" s="37"/>
      <c r="O13" s="35"/>
      <c r="P13" s="37"/>
      <c r="Q13" s="35"/>
      <c r="R13" s="37"/>
      <c r="S13" s="35"/>
      <c r="T13" s="37"/>
      <c r="U13" s="15"/>
      <c r="V13" s="37">
        <v>106</v>
      </c>
      <c r="W13" s="35"/>
      <c r="X13" s="37">
        <v>186</v>
      </c>
      <c r="Y13" s="35"/>
      <c r="Z13" s="15"/>
      <c r="AA13" s="35"/>
      <c r="AB13" s="15"/>
      <c r="AC13" s="35"/>
      <c r="AD13" s="15"/>
      <c r="AE13" s="35"/>
      <c r="AF13" s="15">
        <v>85</v>
      </c>
      <c r="AG13" s="35"/>
      <c r="AH13" s="15">
        <v>76</v>
      </c>
      <c r="AI13" s="35"/>
      <c r="AJ13" s="15"/>
      <c r="AK13" s="35"/>
      <c r="AL13" s="15"/>
      <c r="AM13" s="35"/>
      <c r="AN13" s="15"/>
      <c r="AO13" s="35"/>
      <c r="AP13" s="15"/>
      <c r="AQ13" s="35"/>
      <c r="AR13" s="15">
        <v>107</v>
      </c>
      <c r="AS13" s="35"/>
      <c r="AT13" s="15"/>
      <c r="AU13" s="35"/>
      <c r="AV13" s="37"/>
      <c r="AW13" s="15"/>
      <c r="AX13" s="37">
        <v>96</v>
      </c>
      <c r="AY13" s="35"/>
      <c r="AZ13" s="37"/>
      <c r="BA13" s="35"/>
      <c r="BB13" s="37"/>
      <c r="BC13" s="35"/>
      <c r="BD13" s="37">
        <v>89</v>
      </c>
      <c r="BE13" s="35"/>
      <c r="BF13" s="37">
        <f>38+188</f>
        <v>226</v>
      </c>
      <c r="BG13" s="35"/>
      <c r="BH13" s="37"/>
      <c r="BI13" s="35"/>
      <c r="BJ13" s="37">
        <v>105</v>
      </c>
      <c r="BK13" s="7">
        <f t="shared" si="0"/>
        <v>1445</v>
      </c>
      <c r="BL13" s="5" t="s">
        <v>25</v>
      </c>
    </row>
    <row r="14" s="1" customFormat="1" spans="1:64">
      <c r="A14" s="10" t="s">
        <v>26</v>
      </c>
      <c r="B14" s="46" t="s">
        <v>27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  <c r="Q14" s="5" t="s">
        <v>271</v>
      </c>
      <c r="R14" s="10">
        <v>25</v>
      </c>
      <c r="S14" s="5"/>
      <c r="T14" s="10"/>
      <c r="U14" s="5"/>
      <c r="V14" s="10"/>
      <c r="W14" s="5"/>
      <c r="X14" s="10"/>
      <c r="Y14" s="5"/>
      <c r="Z14" s="10"/>
      <c r="AA14" s="5"/>
      <c r="AB14" s="10"/>
      <c r="AC14" s="5"/>
      <c r="AD14" s="10"/>
      <c r="AE14" s="5"/>
      <c r="AF14" s="10">
        <v>25</v>
      </c>
      <c r="AG14" s="5"/>
      <c r="AH14" s="10"/>
      <c r="AI14" s="5"/>
      <c r="AJ14" s="10"/>
      <c r="AK14" s="5"/>
      <c r="AL14" s="10"/>
      <c r="AM14" s="5"/>
      <c r="AN14" s="10"/>
      <c r="AO14" s="5"/>
      <c r="AP14" s="10"/>
      <c r="AQ14" s="5" t="s">
        <v>96</v>
      </c>
      <c r="AR14" s="10">
        <v>50</v>
      </c>
      <c r="AS14" s="5"/>
      <c r="AT14" s="10"/>
      <c r="AU14" s="5"/>
      <c r="AV14" s="10"/>
      <c r="AW14" s="5"/>
      <c r="AX14" s="10"/>
      <c r="AY14" s="5"/>
      <c r="AZ14" s="10"/>
      <c r="BA14" s="5"/>
      <c r="BB14" s="10"/>
      <c r="BC14" s="5"/>
      <c r="BD14" s="10"/>
      <c r="BE14" s="5" t="s">
        <v>272</v>
      </c>
      <c r="BF14" s="10">
        <v>4162</v>
      </c>
      <c r="BG14" s="5"/>
      <c r="BH14" s="10"/>
      <c r="BI14" s="10"/>
      <c r="BJ14" s="10"/>
      <c r="BK14" s="7">
        <f t="shared" si="0"/>
        <v>4262</v>
      </c>
      <c r="BL14" s="5" t="s">
        <v>27</v>
      </c>
    </row>
    <row r="15" s="1" customFormat="1" spans="1:64">
      <c r="A15" s="10" t="s">
        <v>29</v>
      </c>
      <c r="B15" s="46" t="s">
        <v>30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7">
        <f t="shared" si="0"/>
        <v>0</v>
      </c>
      <c r="BL15" s="5" t="s">
        <v>31</v>
      </c>
    </row>
    <row r="16" s="1" customFormat="1" spans="1:64">
      <c r="A16" s="10" t="s">
        <v>32</v>
      </c>
      <c r="B16" s="46" t="s">
        <v>33</v>
      </c>
      <c r="C16" s="5"/>
      <c r="D16" s="10"/>
      <c r="E16" s="5"/>
      <c r="F16" s="10">
        <v>15</v>
      </c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 t="s">
        <v>253</v>
      </c>
      <c r="AR16" s="10">
        <v>58.8</v>
      </c>
      <c r="AS16" s="5" t="s">
        <v>273</v>
      </c>
      <c r="AT16" s="10">
        <v>30</v>
      </c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/>
      <c r="BJ16" s="10"/>
      <c r="BK16" s="7">
        <f t="shared" si="0"/>
        <v>103.8</v>
      </c>
      <c r="BL16" s="5" t="s">
        <v>34</v>
      </c>
    </row>
    <row r="17" s="1" customFormat="1" spans="1:64">
      <c r="A17" s="10" t="s">
        <v>35</v>
      </c>
      <c r="B17" s="46" t="s">
        <v>36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 t="s">
        <v>274</v>
      </c>
      <c r="AL17" s="10">
        <v>179</v>
      </c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7">
        <f t="shared" si="0"/>
        <v>179</v>
      </c>
      <c r="BL17" s="5" t="s">
        <v>36</v>
      </c>
    </row>
    <row r="18" s="1" customFormat="1" ht="17" spans="1:64">
      <c r="A18" s="11" t="s">
        <v>37</v>
      </c>
      <c r="B18" s="10" t="s">
        <v>38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 t="s">
        <v>275</v>
      </c>
      <c r="AZ18" s="10">
        <v>74</v>
      </c>
      <c r="BA18" s="35" t="s">
        <v>276</v>
      </c>
      <c r="BB18" s="37">
        <v>500</v>
      </c>
      <c r="BC18" s="5"/>
      <c r="BD18" s="10"/>
      <c r="BE18" s="5"/>
      <c r="BF18" s="10"/>
      <c r="BG18" s="5"/>
      <c r="BH18" s="10"/>
      <c r="BI18" s="5"/>
      <c r="BJ18" s="10"/>
      <c r="BK18" s="7">
        <f t="shared" si="0"/>
        <v>574</v>
      </c>
      <c r="BL18" s="5" t="s">
        <v>38</v>
      </c>
    </row>
    <row r="19" s="1" customFormat="1" spans="1:64">
      <c r="A19" s="10"/>
      <c r="B19" s="12" t="s">
        <v>40</v>
      </c>
      <c r="C19" s="10">
        <f>SUM(C3:D18)</f>
        <v>558</v>
      </c>
      <c r="D19" s="8"/>
      <c r="E19" s="10">
        <f>SUM(E3:F18)</f>
        <v>232.5</v>
      </c>
      <c r="F19" s="8"/>
      <c r="G19" s="10">
        <f>SUM(G3:H18)</f>
        <v>771</v>
      </c>
      <c r="H19" s="8"/>
      <c r="I19" s="10">
        <f>SUM(I3:J18)</f>
        <v>204.5</v>
      </c>
      <c r="J19" s="8"/>
      <c r="K19" s="10">
        <f>SUM(K3:L18)</f>
        <v>57</v>
      </c>
      <c r="L19" s="8"/>
      <c r="M19" s="10">
        <f>SUM(M3:N18)</f>
        <v>53.6</v>
      </c>
      <c r="N19" s="8"/>
      <c r="O19" s="10">
        <f>SUM(O3:P18)</f>
        <v>32</v>
      </c>
      <c r="P19" s="8"/>
      <c r="Q19" s="10">
        <f>SUM(Q3:R18)</f>
        <v>178.7</v>
      </c>
      <c r="R19" s="8"/>
      <c r="S19" s="10">
        <f>SUM(S3:T18)</f>
        <v>119.5</v>
      </c>
      <c r="T19" s="8"/>
      <c r="U19" s="10">
        <f>SUM(U3:V18)</f>
        <v>80</v>
      </c>
      <c r="V19" s="8"/>
      <c r="W19" s="10">
        <f>SUM(W3:X18)</f>
        <v>361.5</v>
      </c>
      <c r="X19" s="8"/>
      <c r="Y19" s="10">
        <f>SUM(Y3:Z18)</f>
        <v>195.5</v>
      </c>
      <c r="Z19" s="8"/>
      <c r="AA19" s="10">
        <f>SUM(AA3:AB18)</f>
        <v>-83</v>
      </c>
      <c r="AB19" s="8"/>
      <c r="AC19" s="10">
        <f>SUM(AC3:AD18)</f>
        <v>36.3</v>
      </c>
      <c r="AD19" s="8"/>
      <c r="AE19" s="10">
        <f>SUM(AE3:AF18)</f>
        <v>252.7</v>
      </c>
      <c r="AF19" s="8"/>
      <c r="AG19" s="10">
        <f>SUM(AG3:AH18)</f>
        <v>134.5</v>
      </c>
      <c r="AH19" s="8"/>
      <c r="AI19" s="10">
        <f>SUM(AI3:AJ18)</f>
        <v>52</v>
      </c>
      <c r="AJ19" s="8"/>
      <c r="AK19" s="10">
        <f>SUM(AK3:AL18)</f>
        <v>271</v>
      </c>
      <c r="AL19" s="8"/>
      <c r="AM19" s="10">
        <f>SUM(AM3:AN18)</f>
        <v>243</v>
      </c>
      <c r="AN19" s="8"/>
      <c r="AO19" s="10">
        <f>SUM(AO3:AP18)</f>
        <v>0</v>
      </c>
      <c r="AP19" s="8"/>
      <c r="AQ19" s="10">
        <f>SUM(AQ3:AR18)</f>
        <v>473.9</v>
      </c>
      <c r="AR19" s="8"/>
      <c r="AS19" s="10">
        <f>SUM(AS3:AT18)</f>
        <v>110</v>
      </c>
      <c r="AT19" s="8"/>
      <c r="AU19" s="10">
        <f>SUM(AU3:AV18)</f>
        <v>45.6</v>
      </c>
      <c r="AV19" s="8"/>
      <c r="AW19" s="10">
        <f>SUM(AW3:AX18)</f>
        <v>147</v>
      </c>
      <c r="AX19" s="8"/>
      <c r="AY19" s="10">
        <f>SUM(AY3:AZ18)</f>
        <v>271</v>
      </c>
      <c r="AZ19" s="8"/>
      <c r="BA19" s="10">
        <f>SUM(BA3:BB18)</f>
        <v>518.8</v>
      </c>
      <c r="BB19" s="8"/>
      <c r="BC19" s="10">
        <f>SUM(BC3:BD18)</f>
        <v>138.9</v>
      </c>
      <c r="BD19" s="8"/>
      <c r="BE19" s="10">
        <f>SUM(BE3:BF18)</f>
        <v>4449</v>
      </c>
      <c r="BF19" s="8"/>
      <c r="BG19" s="10">
        <f>SUM(BG3:BH18)</f>
        <v>147.26</v>
      </c>
      <c r="BH19" s="8"/>
      <c r="BI19" s="10">
        <f>SUM(BI3:BJ18)</f>
        <v>688.36</v>
      </c>
      <c r="BJ19" s="8"/>
      <c r="BK19" s="13">
        <f t="shared" si="0"/>
        <v>10740.12</v>
      </c>
      <c r="BL19" s="12" t="s">
        <v>40</v>
      </c>
    </row>
    <row r="20" s="30" customFormat="1" spans="1:64">
      <c r="A20" s="5" t="s">
        <v>41</v>
      </c>
      <c r="B20" s="14" t="s">
        <v>42</v>
      </c>
      <c r="C20" s="17"/>
      <c r="D20" s="47"/>
      <c r="E20" s="17"/>
      <c r="F20" s="47"/>
      <c r="G20" s="17"/>
      <c r="H20" s="47"/>
      <c r="I20" s="17"/>
      <c r="J20" s="47"/>
      <c r="K20" s="17"/>
      <c r="L20" s="47"/>
      <c r="M20" s="17"/>
      <c r="N20" s="47"/>
      <c r="O20" s="17"/>
      <c r="P20" s="47"/>
      <c r="Q20" s="17"/>
      <c r="R20" s="47"/>
      <c r="S20" s="17"/>
      <c r="T20" s="47"/>
      <c r="U20" s="17"/>
      <c r="V20" s="47"/>
      <c r="W20" s="30" t="s">
        <v>277</v>
      </c>
      <c r="X20" s="30">
        <v>150</v>
      </c>
      <c r="Y20" s="17"/>
      <c r="Z20" s="47"/>
      <c r="AA20" s="17"/>
      <c r="AB20" s="47"/>
      <c r="AI20" s="17"/>
      <c r="AJ20" s="47"/>
      <c r="AK20" s="17"/>
      <c r="AL20" s="47"/>
      <c r="AM20" s="17"/>
      <c r="AN20" s="47"/>
      <c r="AO20" s="17"/>
      <c r="AP20" s="47"/>
      <c r="AQ20" s="17"/>
      <c r="AR20" s="47"/>
      <c r="AS20" s="17"/>
      <c r="AT20" s="47"/>
      <c r="AU20" s="17"/>
      <c r="AV20" s="47"/>
      <c r="AW20" s="17"/>
      <c r="AX20" s="47"/>
      <c r="AY20" s="17"/>
      <c r="AZ20" s="47"/>
      <c r="BA20" s="17"/>
      <c r="BB20" s="47"/>
      <c r="BC20" s="17"/>
      <c r="BD20" s="47"/>
      <c r="BE20" s="17"/>
      <c r="BF20" s="47"/>
      <c r="BG20" s="17"/>
      <c r="BH20" s="47"/>
      <c r="BI20" s="47"/>
      <c r="BJ20" s="47"/>
      <c r="BK20" s="7">
        <f t="shared" si="0"/>
        <v>150</v>
      </c>
      <c r="BL20" s="14" t="s">
        <v>42</v>
      </c>
    </row>
    <row r="21" s="1" customFormat="1" spans="1:64">
      <c r="A21" s="15"/>
      <c r="B21" s="14" t="s">
        <v>43</v>
      </c>
      <c r="C21" s="48" t="s">
        <v>44</v>
      </c>
      <c r="D21" s="48">
        <v>1000</v>
      </c>
      <c r="E21" s="48" t="s">
        <v>44</v>
      </c>
      <c r="F21" s="48">
        <v>-15</v>
      </c>
      <c r="G21" s="48" t="s">
        <v>44</v>
      </c>
      <c r="H21" s="48">
        <v>200</v>
      </c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 t="s">
        <v>278</v>
      </c>
      <c r="V21" s="48">
        <v>400</v>
      </c>
      <c r="W21" s="55"/>
      <c r="X21" s="56"/>
      <c r="Y21" s="48"/>
      <c r="Z21" s="48"/>
      <c r="AA21" s="48"/>
      <c r="AB21" s="48"/>
      <c r="AC21" s="55"/>
      <c r="AD21" s="56"/>
      <c r="AE21" s="55"/>
      <c r="AF21" s="56"/>
      <c r="AG21" s="55"/>
      <c r="AH21" s="56"/>
      <c r="AI21" s="48"/>
      <c r="AJ21" s="48"/>
      <c r="AK21" s="48"/>
      <c r="AL21" s="48"/>
      <c r="AM21" s="48" t="s">
        <v>44</v>
      </c>
      <c r="AN21" s="48">
        <v>2600</v>
      </c>
      <c r="AO21" s="48"/>
      <c r="AP21" s="48"/>
      <c r="AQ21" s="48" t="s">
        <v>44</v>
      </c>
      <c r="AR21" s="48">
        <v>600</v>
      </c>
      <c r="AS21" s="48"/>
      <c r="AT21" s="48"/>
      <c r="AU21" s="48"/>
      <c r="AV21" s="48"/>
      <c r="AW21" s="48" t="s">
        <v>105</v>
      </c>
      <c r="AX21" s="48">
        <v>2000</v>
      </c>
      <c r="AY21" s="48" t="s">
        <v>44</v>
      </c>
      <c r="AZ21" s="48">
        <v>2000</v>
      </c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13">
        <f t="shared" si="0"/>
        <v>8785</v>
      </c>
      <c r="BL21" s="14" t="s">
        <v>43</v>
      </c>
    </row>
    <row r="22" s="1" customFormat="1" spans="1:64">
      <c r="A22" s="15"/>
      <c r="B22" s="16" t="s">
        <v>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7"/>
      <c r="AP22" s="57"/>
      <c r="AQ22" s="57"/>
      <c r="AR22" s="5"/>
      <c r="AS22" s="5"/>
      <c r="AT22" s="5"/>
      <c r="AU22" s="5"/>
      <c r="AV22" s="5"/>
      <c r="AW22" s="5"/>
      <c r="AX22" s="5"/>
      <c r="AY22" s="48"/>
      <c r="AZ22" s="48"/>
      <c r="BA22" s="5"/>
      <c r="BB22" s="5"/>
      <c r="BC22" s="5"/>
      <c r="BD22" s="59"/>
      <c r="BE22" s="59"/>
      <c r="BF22" s="59"/>
      <c r="BG22" s="59" t="s">
        <v>279</v>
      </c>
      <c r="BH22" s="59">
        <v>1000</v>
      </c>
      <c r="BI22" s="59"/>
      <c r="BJ22" s="59"/>
      <c r="BK22" s="7">
        <f t="shared" si="0"/>
        <v>1000</v>
      </c>
      <c r="BL22" s="16" t="s">
        <v>45</v>
      </c>
    </row>
    <row r="23" s="1" customFormat="1" spans="1:64">
      <c r="A23" s="15"/>
      <c r="B23" s="16" t="s">
        <v>46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 t="s">
        <v>55</v>
      </c>
      <c r="X23" s="5">
        <v>100</v>
      </c>
      <c r="Y23" s="5"/>
      <c r="Z23" s="5"/>
      <c r="AA23" s="5"/>
      <c r="AB23" s="5"/>
      <c r="AC23" s="5"/>
      <c r="AD23" s="5"/>
      <c r="AE23" s="5" t="s">
        <v>261</v>
      </c>
      <c r="AF23" s="5">
        <v>550</v>
      </c>
      <c r="AG23" s="5"/>
      <c r="AH23" s="5"/>
      <c r="AI23" s="5" t="s">
        <v>280</v>
      </c>
      <c r="AJ23" s="5">
        <v>130</v>
      </c>
      <c r="AK23" s="5"/>
      <c r="AL23" s="5"/>
      <c r="AM23" s="5"/>
      <c r="AN23" s="5"/>
      <c r="AO23" s="57"/>
      <c r="AP23" s="57"/>
      <c r="AQ23" s="57"/>
      <c r="AR23" s="5"/>
      <c r="AS23" s="5"/>
      <c r="AT23" s="5"/>
      <c r="AU23" s="5"/>
      <c r="AV23" s="5"/>
      <c r="AW23" s="5"/>
      <c r="AX23" s="5"/>
      <c r="AY23" s="48"/>
      <c r="AZ23" s="48"/>
      <c r="BA23" s="5"/>
      <c r="BB23" s="5"/>
      <c r="BC23" s="5"/>
      <c r="BD23" s="59"/>
      <c r="BE23" s="59"/>
      <c r="BF23" s="59"/>
      <c r="BG23" s="59"/>
      <c r="BH23" s="59"/>
      <c r="BI23" s="59"/>
      <c r="BJ23" s="59"/>
      <c r="BK23" s="7">
        <f t="shared" si="0"/>
        <v>780</v>
      </c>
      <c r="BL23" s="16" t="s">
        <v>46</v>
      </c>
    </row>
    <row r="24" s="1" customFormat="1" ht="17.6" spans="1:63">
      <c r="A24" s="15"/>
      <c r="B24"/>
      <c r="C24" s="20">
        <f>1504+C19:H19</f>
        <v>2062</v>
      </c>
      <c r="D24" s="20"/>
      <c r="E24" s="20"/>
      <c r="F24" s="20"/>
      <c r="G24" s="20"/>
      <c r="H24" s="20"/>
      <c r="I24" s="20"/>
      <c r="J24" s="2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0"/>
      <c r="BE24" s="60"/>
      <c r="BF24" s="60"/>
      <c r="BG24" s="60"/>
      <c r="BH24" s="60"/>
      <c r="BI24" s="60"/>
      <c r="BJ24" s="60"/>
      <c r="BK24" s="60"/>
    </row>
    <row r="25" s="1" customFormat="1" ht="17.6" spans="1:63">
      <c r="A25" s="15"/>
      <c r="B25"/>
      <c r="C25"/>
      <c r="D25" s="49"/>
      <c r="E25" s="30"/>
      <c r="F25" s="30"/>
      <c r="G25" s="30"/>
      <c r="H25" s="30"/>
      <c r="I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0"/>
      <c r="BE25" s="60"/>
      <c r="BF25" s="60"/>
      <c r="BG25" s="60"/>
      <c r="BH25" s="60"/>
      <c r="BI25" s="60"/>
      <c r="BJ25" s="60"/>
      <c r="BK25" s="60"/>
    </row>
    <row r="26" s="1" customFormat="1" spans="1:63">
      <c r="A26" s="15"/>
      <c r="B26" s="30"/>
      <c r="C26" s="30"/>
      <c r="D26" s="30"/>
      <c r="E26" s="30"/>
      <c r="F26" s="30"/>
      <c r="G26" s="30"/>
      <c r="H26" s="30"/>
      <c r="I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0"/>
      <c r="BE26" s="60"/>
      <c r="BF26" s="60"/>
      <c r="BG26" s="60"/>
      <c r="BH26" s="60"/>
      <c r="BI26" s="60"/>
      <c r="BJ26" s="60"/>
      <c r="BK26" s="60"/>
    </row>
    <row r="27" s="1" customFormat="1" spans="1:63">
      <c r="A27" s="1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="1" customFormat="1" spans="1:63">
      <c r="A28" s="15"/>
      <c r="B28" s="30"/>
      <c r="C28" s="30"/>
      <c r="D28" s="15"/>
      <c r="E28" s="15"/>
      <c r="F28" s="15"/>
      <c r="G28" s="15"/>
      <c r="H28" s="15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="1" customFormat="1" spans="1:63">
      <c r="A29" s="15"/>
      <c r="B29" s="30"/>
      <c r="C29" s="30"/>
      <c r="D29" s="15"/>
      <c r="E29" s="15"/>
      <c r="F29" s="15"/>
      <c r="G29" s="15"/>
      <c r="H29" s="1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="1" customFormat="1" spans="1:63">
      <c r="A30" s="15"/>
      <c r="B30" s="15"/>
      <c r="C30" s="15"/>
      <c r="D30" s="15"/>
      <c r="E30" s="15"/>
      <c r="F30" s="15"/>
      <c r="G30" s="15"/>
      <c r="H30" s="1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1" s="1" customFormat="1" spans="1:63">
      <c r="A31" s="15"/>
      <c r="D31" s="15"/>
      <c r="E31" s="15"/>
      <c r="F31" s="15"/>
      <c r="G31" s="15"/>
      <c r="H31" s="1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</row>
    <row r="32" s="1" customFormat="1" spans="1:64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30"/>
    </row>
    <row r="33" s="1" customFormat="1" spans="1:64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30"/>
    </row>
    <row r="34" s="1" customFormat="1" spans="1:64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30"/>
    </row>
    <row r="35" s="1" customFormat="1" spans="1:64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30"/>
    </row>
    <row r="36" s="1" customFormat="1" spans="1:64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</row>
  </sheetData>
  <mergeCells count="69">
    <mergeCell ref="C1:H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C24:J24"/>
    <mergeCell ref="A3:A6"/>
    <mergeCell ref="A7:A13"/>
    <mergeCell ref="BK3:BK6"/>
  </mergeCells>
  <pageMargins left="0.75" right="0.75" top="1" bottom="1" header="0.511805555555556" footer="0.511805555555556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topLeftCell="BA1" workbookViewId="0">
      <selection activeCell="BM21" sqref="BM21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5.57142857142857" style="1" customWidth="1"/>
    <col min="4" max="4" width="7.14285714285714" style="1" customWidth="1"/>
    <col min="5" max="5" width="7.57142857142857" style="1" customWidth="1"/>
    <col min="6" max="6" width="7.14285714285714" style="1" customWidth="1"/>
    <col min="7" max="7" width="5.57142857142857" style="1" customWidth="1"/>
    <col min="8" max="8" width="8.07142857142857" style="1" customWidth="1"/>
    <col min="9" max="9" width="7.57142857142857" style="1" customWidth="1"/>
    <col min="10" max="10" width="7.14285714285714" style="1" customWidth="1"/>
    <col min="11" max="11" width="14" style="1" customWidth="1"/>
    <col min="12" max="12" width="7.14285714285714" style="1" customWidth="1"/>
    <col min="13" max="13" width="11.7142857142857" style="1" customWidth="1"/>
    <col min="14" max="14" width="7.14285714285714" style="1" customWidth="1"/>
    <col min="15" max="15" width="16.2142857142857" style="1" customWidth="1"/>
    <col min="16" max="16" width="7.14285714285714" style="1" customWidth="1"/>
    <col min="17" max="17" width="5.57142857142857" style="1" customWidth="1"/>
    <col min="18" max="18" width="6.21428571428571" style="1" customWidth="1"/>
    <col min="19" max="19" width="5.57142857142857" style="1" customWidth="1"/>
    <col min="20" max="20" width="6.21428571428571" style="1" customWidth="1"/>
    <col min="21" max="21" width="9.57142857142857" style="1" customWidth="1"/>
    <col min="22" max="22" width="7.14285714285714" style="1" customWidth="1"/>
    <col min="23" max="23" width="5.57142857142857" style="1" customWidth="1"/>
    <col min="24" max="24" width="6.85714285714286" style="1" customWidth="1"/>
    <col min="25" max="25" width="9.57142857142857" style="1" customWidth="1"/>
    <col min="26" max="26" width="8.07142857142857" style="1" customWidth="1"/>
    <col min="27" max="27" width="7.57142857142857" style="1" customWidth="1"/>
    <col min="28" max="28" width="6.21428571428571" style="1" customWidth="1"/>
    <col min="29" max="29" width="5.57142857142857" style="1" customWidth="1"/>
    <col min="30" max="30" width="7.14285714285714" style="1" customWidth="1"/>
    <col min="31" max="31" width="9.57142857142857" style="1" customWidth="1"/>
    <col min="32" max="32" width="7.14285714285714" style="1" customWidth="1"/>
    <col min="33" max="33" width="7.57142857142857" style="1" customWidth="1"/>
    <col min="34" max="34" width="7.78571428571429" style="1" customWidth="1"/>
    <col min="35" max="35" width="7.57142857142857" style="1" customWidth="1"/>
    <col min="36" max="36" width="6.21428571428571" style="1" customWidth="1"/>
    <col min="37" max="37" width="7.57142857142857" style="1" customWidth="1"/>
    <col min="38" max="38" width="6.21428571428571" style="1" customWidth="1"/>
    <col min="39" max="39" width="5.57142857142857" style="1" customWidth="1"/>
    <col min="40" max="40" width="6.21428571428571" style="1" customWidth="1"/>
    <col min="41" max="41" width="3.57142857142857" style="1" customWidth="1"/>
    <col min="42" max="42" width="7.78571428571429" style="1" customWidth="1"/>
    <col min="43" max="43" width="16.3035714285714" style="1" customWidth="1"/>
    <col min="44" max="44" width="6.21428571428571" style="1" customWidth="1"/>
    <col min="45" max="45" width="3.57142857142857" style="1" customWidth="1"/>
    <col min="46" max="46" width="8.07142857142857" style="1" customWidth="1"/>
    <col min="47" max="47" width="3.57142857142857" style="1" customWidth="1"/>
    <col min="48" max="48" width="7.14285714285714" style="1" customWidth="1"/>
    <col min="49" max="49" width="5.57142857142857" style="1" customWidth="1"/>
    <col min="50" max="50" width="6.21428571428571" style="1" customWidth="1"/>
    <col min="51" max="51" width="14.0714285714286" style="1" customWidth="1"/>
    <col min="52" max="52" width="6.21428571428571" style="1" customWidth="1"/>
    <col min="53" max="53" width="5.57142857142857" style="1" customWidth="1"/>
    <col min="54" max="54" width="7.14285714285714" style="1" customWidth="1"/>
    <col min="55" max="55" width="15.4285714285714" style="1" customWidth="1"/>
    <col min="56" max="56" width="6.21428571428571" style="1" customWidth="1"/>
    <col min="57" max="57" width="7.57142857142857" style="1" customWidth="1"/>
    <col min="58" max="58" width="7.14285714285714" style="1" customWidth="1"/>
    <col min="59" max="59" width="7.57142857142857" style="1" customWidth="1"/>
    <col min="60" max="60" width="7.14285714285714" style="1" customWidth="1"/>
    <col min="61" max="61" width="7.57142857142857" style="1" customWidth="1"/>
    <col min="62" max="62" width="7.14285714285714" style="1" customWidth="1"/>
    <col min="63" max="63" width="7.57142857142857" style="1" customWidth="1"/>
    <col min="64" max="64" width="7.14285714285714" style="1" customWidth="1"/>
    <col min="65" max="65" width="7.57142857142857" style="1" customWidth="1"/>
    <col min="66" max="66" width="9.57142857142857" style="1" customWidth="1"/>
    <col min="67" max="14413" width="8.24107142857143" style="1"/>
    <col min="14414" max="16384" width="9.11607142857143" style="1"/>
  </cols>
  <sheetData>
    <row r="1" s="1" customFormat="1" spans="3:58">
      <c r="C1" s="31"/>
      <c r="D1" s="31"/>
      <c r="E1" s="31"/>
      <c r="F1" s="31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28"/>
      <c r="T1" s="28"/>
      <c r="U1" s="28"/>
      <c r="V1" s="28"/>
      <c r="W1" s="28"/>
      <c r="X1" s="28"/>
      <c r="Y1" s="28"/>
      <c r="Z1" s="28"/>
      <c r="AK1" s="16"/>
      <c r="AL1" s="16"/>
      <c r="BA1" s="58"/>
      <c r="BB1" s="58"/>
      <c r="BE1" s="61"/>
      <c r="BF1" s="61"/>
    </row>
    <row r="2" s="1" customFormat="1" spans="1:66">
      <c r="A2" s="32"/>
      <c r="B2" s="33" t="s">
        <v>1</v>
      </c>
      <c r="C2" s="34">
        <v>44470</v>
      </c>
      <c r="D2" s="3"/>
      <c r="E2" s="34">
        <v>44471</v>
      </c>
      <c r="F2" s="3"/>
      <c r="G2" s="34">
        <v>44472</v>
      </c>
      <c r="H2" s="3"/>
      <c r="I2" s="34">
        <v>44473</v>
      </c>
      <c r="J2" s="3"/>
      <c r="K2" s="34">
        <v>44474</v>
      </c>
      <c r="L2" s="3"/>
      <c r="M2" s="34">
        <v>44475</v>
      </c>
      <c r="N2" s="3"/>
      <c r="O2" s="34">
        <v>44476</v>
      </c>
      <c r="P2" s="3"/>
      <c r="Q2" s="34">
        <v>44477</v>
      </c>
      <c r="R2" s="3"/>
      <c r="S2" s="34">
        <v>44478</v>
      </c>
      <c r="T2" s="3"/>
      <c r="U2" s="34">
        <v>44479</v>
      </c>
      <c r="V2" s="3"/>
      <c r="W2" s="34">
        <v>44480</v>
      </c>
      <c r="X2" s="3"/>
      <c r="Y2" s="34">
        <v>44481</v>
      </c>
      <c r="Z2" s="3"/>
      <c r="AA2" s="34">
        <v>44482</v>
      </c>
      <c r="AB2" s="3"/>
      <c r="AC2" s="34">
        <v>44483</v>
      </c>
      <c r="AD2" s="3"/>
      <c r="AE2" s="34">
        <v>44484</v>
      </c>
      <c r="AF2" s="3"/>
      <c r="AG2" s="34">
        <v>44485</v>
      </c>
      <c r="AH2" s="3"/>
      <c r="AI2" s="34">
        <v>44486</v>
      </c>
      <c r="AJ2" s="3"/>
      <c r="AK2" s="34">
        <v>44487</v>
      </c>
      <c r="AL2" s="3"/>
      <c r="AM2" s="34">
        <v>44488</v>
      </c>
      <c r="AN2" s="3"/>
      <c r="AO2" s="34">
        <v>44489</v>
      </c>
      <c r="AP2" s="3"/>
      <c r="AQ2" s="34">
        <v>44490</v>
      </c>
      <c r="AR2" s="3"/>
      <c r="AS2" s="34">
        <v>44491</v>
      </c>
      <c r="AT2" s="3"/>
      <c r="AU2" s="34">
        <v>44492</v>
      </c>
      <c r="AV2" s="3"/>
      <c r="AW2" s="34">
        <v>44493</v>
      </c>
      <c r="AX2" s="3"/>
      <c r="AY2" s="34">
        <v>44494</v>
      </c>
      <c r="AZ2" s="3"/>
      <c r="BA2" s="34">
        <v>44495</v>
      </c>
      <c r="BB2" s="3"/>
      <c r="BC2" s="34">
        <v>44496</v>
      </c>
      <c r="BD2" s="3"/>
      <c r="BE2" s="34">
        <v>44497</v>
      </c>
      <c r="BF2" s="3"/>
      <c r="BG2" s="34">
        <v>44498</v>
      </c>
      <c r="BH2" s="3"/>
      <c r="BI2" s="34">
        <v>44499</v>
      </c>
      <c r="BJ2" s="3"/>
      <c r="BK2" s="34">
        <v>44500</v>
      </c>
      <c r="BL2" s="3"/>
      <c r="BM2" s="34" t="s">
        <v>2</v>
      </c>
      <c r="BN2" s="2" t="s">
        <v>1</v>
      </c>
    </row>
    <row r="3" s="1" customFormat="1" spans="1:66">
      <c r="A3" s="35" t="s">
        <v>3</v>
      </c>
      <c r="B3" s="36" t="s">
        <v>4</v>
      </c>
      <c r="C3" s="35"/>
      <c r="D3" s="37"/>
      <c r="E3" s="51"/>
      <c r="F3" s="52"/>
      <c r="G3" s="15"/>
      <c r="H3" s="37"/>
      <c r="I3" s="35"/>
      <c r="J3" s="37"/>
      <c r="K3" s="35"/>
      <c r="L3" s="37"/>
      <c r="M3" s="35"/>
      <c r="N3" s="37">
        <v>36</v>
      </c>
      <c r="O3" s="35"/>
      <c r="P3" s="37"/>
      <c r="Q3" s="35"/>
      <c r="R3" s="37"/>
      <c r="S3" s="35"/>
      <c r="T3" s="37"/>
      <c r="U3" s="15"/>
      <c r="V3" s="37">
        <v>9.5</v>
      </c>
      <c r="W3" s="35"/>
      <c r="X3" s="37"/>
      <c r="Y3" s="35"/>
      <c r="Z3" s="15"/>
      <c r="AA3" s="35"/>
      <c r="AB3" s="15">
        <v>8</v>
      </c>
      <c r="AC3" s="35"/>
      <c r="AD3" s="15"/>
      <c r="AE3" s="35"/>
      <c r="AF3" s="15"/>
      <c r="AG3" s="35"/>
      <c r="AH3" s="15"/>
      <c r="AI3" s="35"/>
      <c r="AJ3" s="15"/>
      <c r="AK3" s="35"/>
      <c r="AL3" s="15"/>
      <c r="AM3" s="35"/>
      <c r="AN3" s="15"/>
      <c r="AO3" s="35"/>
      <c r="AP3" s="15">
        <v>26</v>
      </c>
      <c r="AQ3" s="35"/>
      <c r="AR3" s="15">
        <v>17</v>
      </c>
      <c r="AS3" s="35"/>
      <c r="AT3" s="15">
        <v>13</v>
      </c>
      <c r="AU3" s="35"/>
      <c r="AV3" s="37"/>
      <c r="AW3" s="15"/>
      <c r="AX3" s="37"/>
      <c r="AY3" s="35"/>
      <c r="AZ3" s="37"/>
      <c r="BA3" s="35"/>
      <c r="BB3" s="37"/>
      <c r="BC3" s="35"/>
      <c r="BD3" s="37"/>
      <c r="BE3" s="35"/>
      <c r="BF3" s="62"/>
      <c r="BG3" s="35"/>
      <c r="BH3" s="37"/>
      <c r="BI3" s="35"/>
      <c r="BJ3" s="37"/>
      <c r="BK3" s="35"/>
      <c r="BL3" s="37">
        <v>14</v>
      </c>
      <c r="BM3" s="7">
        <f>SUM(C3:BL6)</f>
        <v>1834</v>
      </c>
      <c r="BN3" s="29" t="s">
        <v>4</v>
      </c>
    </row>
    <row r="4" s="1" customFormat="1" spans="1:66">
      <c r="A4" s="35"/>
      <c r="B4" s="36" t="s">
        <v>5</v>
      </c>
      <c r="C4" s="35"/>
      <c r="D4" s="37"/>
      <c r="E4" s="15"/>
      <c r="F4" s="37"/>
      <c r="G4" s="15"/>
      <c r="H4" s="37">
        <v>180</v>
      </c>
      <c r="I4" s="35"/>
      <c r="J4" s="37">
        <v>30</v>
      </c>
      <c r="K4" s="35"/>
      <c r="L4" s="37">
        <v>30</v>
      </c>
      <c r="M4" s="35"/>
      <c r="N4" s="37"/>
      <c r="O4" s="35"/>
      <c r="P4" s="37">
        <v>66.8</v>
      </c>
      <c r="Q4" s="35"/>
      <c r="R4" s="37">
        <v>11</v>
      </c>
      <c r="S4" s="35"/>
      <c r="T4" s="37">
        <v>11</v>
      </c>
      <c r="U4" s="15"/>
      <c r="V4" s="37"/>
      <c r="W4" s="35"/>
      <c r="X4" s="37">
        <v>12</v>
      </c>
      <c r="Y4" s="35"/>
      <c r="Z4" s="15">
        <v>19.8</v>
      </c>
      <c r="AA4" s="35"/>
      <c r="AB4" s="15">
        <v>13</v>
      </c>
      <c r="AC4" s="35"/>
      <c r="AD4" s="15"/>
      <c r="AE4" s="35"/>
      <c r="AF4" s="15">
        <v>12</v>
      </c>
      <c r="AG4" s="35"/>
      <c r="AH4" s="15">
        <v>12</v>
      </c>
      <c r="AI4" s="35"/>
      <c r="AJ4" s="15">
        <v>12</v>
      </c>
      <c r="AK4" s="35"/>
      <c r="AL4" s="15">
        <v>8</v>
      </c>
      <c r="AM4" s="35"/>
      <c r="AN4" s="15">
        <v>15.8</v>
      </c>
      <c r="AO4" s="35"/>
      <c r="AP4" s="15">
        <v>30</v>
      </c>
      <c r="AQ4" s="35"/>
      <c r="AR4" s="15">
        <v>48</v>
      </c>
      <c r="AS4" s="35"/>
      <c r="AT4" s="15"/>
      <c r="AU4" s="35"/>
      <c r="AV4" s="37"/>
      <c r="AW4" s="15"/>
      <c r="AX4" s="37"/>
      <c r="AY4" s="35"/>
      <c r="AZ4" s="37">
        <v>14</v>
      </c>
      <c r="BA4" s="35"/>
      <c r="BB4" s="37">
        <v>16</v>
      </c>
      <c r="BC4" s="35"/>
      <c r="BD4" s="37">
        <v>15</v>
      </c>
      <c r="BE4" s="35"/>
      <c r="BF4" s="62">
        <v>11</v>
      </c>
      <c r="BG4" s="35"/>
      <c r="BH4" s="37">
        <v>14</v>
      </c>
      <c r="BI4" s="35"/>
      <c r="BJ4" s="37">
        <v>24</v>
      </c>
      <c r="BK4" s="35"/>
      <c r="BL4" s="37">
        <v>9</v>
      </c>
      <c r="BM4" s="7"/>
      <c r="BN4" s="29" t="s">
        <v>5</v>
      </c>
    </row>
    <row r="5" s="1" customFormat="1" spans="1:66">
      <c r="A5" s="35"/>
      <c r="B5" s="36" t="s">
        <v>6</v>
      </c>
      <c r="C5" s="35" t="s">
        <v>281</v>
      </c>
      <c r="D5" s="15">
        <v>190</v>
      </c>
      <c r="E5" s="35"/>
      <c r="F5" s="15">
        <v>80</v>
      </c>
      <c r="G5" s="35"/>
      <c r="H5" s="15">
        <v>144</v>
      </c>
      <c r="I5" s="35"/>
      <c r="J5" s="37">
        <v>10</v>
      </c>
      <c r="K5" s="35"/>
      <c r="L5" s="37">
        <v>30</v>
      </c>
      <c r="M5" s="35"/>
      <c r="N5" s="37">
        <v>56</v>
      </c>
      <c r="O5" s="35"/>
      <c r="P5" s="37"/>
      <c r="Q5" s="35"/>
      <c r="R5" s="37">
        <v>15</v>
      </c>
      <c r="S5" s="35"/>
      <c r="T5" s="37">
        <v>9.5</v>
      </c>
      <c r="U5" s="15"/>
      <c r="V5" s="37"/>
      <c r="W5" s="35"/>
      <c r="X5" s="37"/>
      <c r="Y5" s="35"/>
      <c r="Z5" s="15">
        <v>40</v>
      </c>
      <c r="AA5" s="35"/>
      <c r="AB5" s="15">
        <v>16</v>
      </c>
      <c r="AC5" s="35"/>
      <c r="AD5" s="15">
        <v>13</v>
      </c>
      <c r="AE5" s="35"/>
      <c r="AF5" s="15">
        <v>12</v>
      </c>
      <c r="AG5" s="35"/>
      <c r="AH5" s="15"/>
      <c r="AI5" s="35"/>
      <c r="AJ5" s="15">
        <v>16</v>
      </c>
      <c r="AK5" s="35"/>
      <c r="AL5" s="15">
        <v>13</v>
      </c>
      <c r="AM5" s="35"/>
      <c r="AN5" s="15">
        <v>19</v>
      </c>
      <c r="AO5" s="35"/>
      <c r="AP5" s="15">
        <v>84</v>
      </c>
      <c r="AQ5" s="35"/>
      <c r="AR5" s="15"/>
      <c r="AS5" s="35"/>
      <c r="AT5" s="15"/>
      <c r="AU5" s="35"/>
      <c r="AV5" s="37"/>
      <c r="AW5" s="15"/>
      <c r="AX5" s="37">
        <v>11.5</v>
      </c>
      <c r="AY5" s="35"/>
      <c r="AZ5" s="37">
        <v>10.2</v>
      </c>
      <c r="BA5" s="35"/>
      <c r="BB5" s="37"/>
      <c r="BC5" s="35"/>
      <c r="BD5" s="37">
        <v>36</v>
      </c>
      <c r="BE5" s="35"/>
      <c r="BF5" s="62">
        <v>13</v>
      </c>
      <c r="BG5" s="35"/>
      <c r="BH5" s="37">
        <v>17.7</v>
      </c>
      <c r="BI5" s="35"/>
      <c r="BJ5" s="37">
        <v>96</v>
      </c>
      <c r="BK5" s="35" t="s">
        <v>282</v>
      </c>
      <c r="BL5" s="37">
        <v>112.9</v>
      </c>
      <c r="BM5" s="7"/>
      <c r="BN5" s="29" t="s">
        <v>6</v>
      </c>
    </row>
    <row r="6" s="1" customFormat="1" spans="1:66">
      <c r="A6" s="38"/>
      <c r="B6" s="39" t="s">
        <v>8</v>
      </c>
      <c r="C6" s="38"/>
      <c r="D6" s="40"/>
      <c r="E6" s="38"/>
      <c r="F6" s="40"/>
      <c r="G6" s="38"/>
      <c r="H6" s="40"/>
      <c r="I6" s="38"/>
      <c r="J6" s="53"/>
      <c r="K6" s="38"/>
      <c r="L6" s="53"/>
      <c r="M6" s="38"/>
      <c r="N6" s="53"/>
      <c r="O6" s="38"/>
      <c r="P6" s="53">
        <v>19.8</v>
      </c>
      <c r="Q6" s="38"/>
      <c r="R6" s="53"/>
      <c r="S6" s="38"/>
      <c r="T6" s="53"/>
      <c r="U6" s="40"/>
      <c r="V6" s="53"/>
      <c r="W6" s="38"/>
      <c r="X6" s="53"/>
      <c r="Y6" s="38"/>
      <c r="Z6" s="40"/>
      <c r="AA6" s="38"/>
      <c r="AB6" s="40"/>
      <c r="AC6" s="38"/>
      <c r="AD6" s="40"/>
      <c r="AE6" s="38"/>
      <c r="AF6" s="40"/>
      <c r="AG6" s="38"/>
      <c r="AH6" s="40"/>
      <c r="AI6" s="38"/>
      <c r="AJ6" s="40">
        <v>12</v>
      </c>
      <c r="AK6" s="38"/>
      <c r="AL6" s="40"/>
      <c r="AM6" s="38"/>
      <c r="AN6" s="40"/>
      <c r="AO6" s="38"/>
      <c r="AP6" s="40"/>
      <c r="AQ6" s="38"/>
      <c r="AR6" s="40"/>
      <c r="AS6" s="38"/>
      <c r="AT6" s="40"/>
      <c r="AU6" s="38"/>
      <c r="AV6" s="53"/>
      <c r="AW6" s="40"/>
      <c r="AX6" s="53"/>
      <c r="AY6" s="38"/>
      <c r="AZ6" s="53"/>
      <c r="BA6" s="38"/>
      <c r="BB6" s="53"/>
      <c r="BC6" s="38"/>
      <c r="BD6" s="53"/>
      <c r="BE6" s="38"/>
      <c r="BF6" s="63"/>
      <c r="BG6" s="38"/>
      <c r="BH6" s="53">
        <v>19.5</v>
      </c>
      <c r="BI6" s="38"/>
      <c r="BJ6" s="53"/>
      <c r="BK6" s="38"/>
      <c r="BL6" s="53"/>
      <c r="BM6" s="7"/>
      <c r="BN6" s="5" t="s">
        <v>8</v>
      </c>
    </row>
    <row r="7" s="1" customFormat="1" spans="1:66">
      <c r="A7" s="41" t="s">
        <v>11</v>
      </c>
      <c r="B7" s="42" t="s">
        <v>12</v>
      </c>
      <c r="C7" s="35"/>
      <c r="D7" s="37">
        <v>25</v>
      </c>
      <c r="E7" s="51"/>
      <c r="F7" s="51">
        <v>40</v>
      </c>
      <c r="G7" s="41"/>
      <c r="H7" s="52">
        <v>31</v>
      </c>
      <c r="I7" s="51"/>
      <c r="J7" s="52"/>
      <c r="K7" s="51"/>
      <c r="L7" s="52">
        <v>20</v>
      </c>
      <c r="M7" s="51"/>
      <c r="N7" s="37">
        <v>40</v>
      </c>
      <c r="O7" s="51"/>
      <c r="P7" s="52">
        <v>21</v>
      </c>
      <c r="Q7" s="51"/>
      <c r="R7" s="52">
        <v>25</v>
      </c>
      <c r="S7" s="51"/>
      <c r="T7" s="37"/>
      <c r="U7" s="51"/>
      <c r="V7" s="52">
        <v>15</v>
      </c>
      <c r="W7" s="41"/>
      <c r="X7" s="52">
        <v>21</v>
      </c>
      <c r="Y7" s="41"/>
      <c r="Z7" s="51">
        <v>2</v>
      </c>
      <c r="AA7" s="41"/>
      <c r="AB7" s="51"/>
      <c r="AC7" s="41"/>
      <c r="AD7" s="51"/>
      <c r="AE7" s="41"/>
      <c r="AF7" s="51">
        <v>13</v>
      </c>
      <c r="AG7" s="41"/>
      <c r="AH7" s="51"/>
      <c r="AI7" s="41"/>
      <c r="AJ7" s="51">
        <v>21</v>
      </c>
      <c r="AK7" s="41"/>
      <c r="AL7" s="51"/>
      <c r="AM7" s="41"/>
      <c r="AN7" s="51">
        <v>25.8</v>
      </c>
      <c r="AO7" s="41"/>
      <c r="AP7" s="51">
        <v>44</v>
      </c>
      <c r="AQ7" s="41"/>
      <c r="AR7" s="51"/>
      <c r="AS7" s="41"/>
      <c r="AT7" s="51"/>
      <c r="AU7" s="41"/>
      <c r="AV7" s="52"/>
      <c r="AW7" s="51"/>
      <c r="AX7" s="52"/>
      <c r="AY7" s="41"/>
      <c r="AZ7" s="52"/>
      <c r="BA7" s="41"/>
      <c r="BB7" s="52">
        <v>5</v>
      </c>
      <c r="BC7" s="41"/>
      <c r="BD7" s="52"/>
      <c r="BE7" s="41"/>
      <c r="BF7" s="52"/>
      <c r="BG7" s="41"/>
      <c r="BH7" s="52"/>
      <c r="BI7" s="41"/>
      <c r="BJ7" s="52">
        <v>6</v>
      </c>
      <c r="BK7" s="41"/>
      <c r="BL7" s="52">
        <v>3.5</v>
      </c>
      <c r="BM7" s="7">
        <f>SUM(C7:BL7)</f>
        <v>358.3</v>
      </c>
      <c r="BN7" s="5" t="s">
        <v>12</v>
      </c>
    </row>
    <row r="8" s="1" customFormat="1" spans="1:66">
      <c r="A8" s="35"/>
      <c r="B8" s="42" t="s">
        <v>13</v>
      </c>
      <c r="C8" s="35"/>
      <c r="D8" s="37"/>
      <c r="E8" s="15"/>
      <c r="F8" s="15"/>
      <c r="G8" s="35"/>
      <c r="H8" s="37"/>
      <c r="I8" s="15"/>
      <c r="J8" s="37"/>
      <c r="K8" s="15"/>
      <c r="L8" s="37"/>
      <c r="M8" s="15"/>
      <c r="N8" s="37"/>
      <c r="O8" s="15"/>
      <c r="P8" s="37"/>
      <c r="Q8" s="15"/>
      <c r="R8" s="37"/>
      <c r="S8" s="54"/>
      <c r="T8" s="37"/>
      <c r="U8" s="15"/>
      <c r="V8" s="37"/>
      <c r="W8" s="35"/>
      <c r="X8" s="37"/>
      <c r="Y8" s="35"/>
      <c r="Z8" s="15"/>
      <c r="AA8" s="35"/>
      <c r="AB8" s="15"/>
      <c r="AC8" s="35"/>
      <c r="AD8" s="15"/>
      <c r="AE8" s="35"/>
      <c r="AF8" s="15"/>
      <c r="AG8" s="35"/>
      <c r="AH8" s="15"/>
      <c r="AI8" s="35"/>
      <c r="AJ8" s="15"/>
      <c r="AK8" s="35"/>
      <c r="AL8" s="15"/>
      <c r="AM8" s="35"/>
      <c r="AN8" s="15"/>
      <c r="AO8" s="35"/>
      <c r="AP8" s="15"/>
      <c r="AQ8" s="35"/>
      <c r="AR8" s="15"/>
      <c r="AS8" s="35"/>
      <c r="AT8" s="15"/>
      <c r="AU8" s="35"/>
      <c r="AV8" s="37"/>
      <c r="AW8" s="15"/>
      <c r="AX8" s="37"/>
      <c r="AY8" s="35"/>
      <c r="AZ8" s="37"/>
      <c r="BA8" s="35"/>
      <c r="BB8" s="37"/>
      <c r="BC8" s="35"/>
      <c r="BD8" s="37"/>
      <c r="BE8" s="35"/>
      <c r="BF8" s="37"/>
      <c r="BG8" s="35"/>
      <c r="BH8" s="37"/>
      <c r="BI8" s="35"/>
      <c r="BJ8" s="37"/>
      <c r="BK8" s="35"/>
      <c r="BL8" s="37"/>
      <c r="BM8" s="7">
        <f>SUM(C8:BL8)</f>
        <v>0</v>
      </c>
      <c r="BN8" s="5" t="s">
        <v>13</v>
      </c>
    </row>
    <row r="9" s="1" customFormat="1" spans="1:66">
      <c r="A9" s="35"/>
      <c r="B9" s="43" t="s">
        <v>56</v>
      </c>
      <c r="C9" s="35"/>
      <c r="D9" s="37"/>
      <c r="E9" s="15"/>
      <c r="F9" s="15"/>
      <c r="G9" s="35"/>
      <c r="H9" s="37"/>
      <c r="I9" s="15"/>
      <c r="J9" s="37"/>
      <c r="K9" s="15"/>
      <c r="L9" s="37">
        <v>44</v>
      </c>
      <c r="M9" s="15"/>
      <c r="N9" s="37"/>
      <c r="O9" s="15"/>
      <c r="P9" s="37"/>
      <c r="Q9" s="15"/>
      <c r="R9" s="37">
        <v>50</v>
      </c>
      <c r="S9" s="54"/>
      <c r="T9" s="37"/>
      <c r="U9" s="15"/>
      <c r="V9" s="37">
        <v>100</v>
      </c>
      <c r="W9" s="35"/>
      <c r="X9" s="37">
        <f>40-100</f>
        <v>-60</v>
      </c>
      <c r="Y9" s="35"/>
      <c r="Z9" s="15">
        <v>100</v>
      </c>
      <c r="AA9" s="35"/>
      <c r="AB9" s="15"/>
      <c r="AC9" s="35"/>
      <c r="AD9" s="15">
        <v>127.4</v>
      </c>
      <c r="AE9" s="35"/>
      <c r="AF9" s="15"/>
      <c r="AG9" s="35"/>
      <c r="AH9" s="15">
        <v>-200</v>
      </c>
      <c r="AI9" s="35"/>
      <c r="AJ9" s="15"/>
      <c r="AK9" s="35"/>
      <c r="AL9" s="15"/>
      <c r="AM9" s="35"/>
      <c r="AN9" s="15"/>
      <c r="AO9" s="35"/>
      <c r="AP9" s="15">
        <v>-300</v>
      </c>
      <c r="AQ9" s="35"/>
      <c r="AR9" s="15"/>
      <c r="AS9" s="35"/>
      <c r="AT9" s="15">
        <v>50</v>
      </c>
      <c r="AU9" s="35"/>
      <c r="AV9" s="37"/>
      <c r="AW9" s="15"/>
      <c r="AX9" s="37">
        <v>62</v>
      </c>
      <c r="AY9" s="35"/>
      <c r="AZ9" s="37"/>
      <c r="BA9" s="35"/>
      <c r="BB9" s="37"/>
      <c r="BC9" s="35"/>
      <c r="BD9" s="37"/>
      <c r="BE9" s="35"/>
      <c r="BF9" s="37">
        <v>90.8</v>
      </c>
      <c r="BG9" s="35"/>
      <c r="BH9" s="37"/>
      <c r="BI9" s="35"/>
      <c r="BJ9" s="37">
        <v>24</v>
      </c>
      <c r="BK9" s="35"/>
      <c r="BL9" s="37">
        <v>40</v>
      </c>
      <c r="BM9" s="7">
        <f>SUM(C9:BL9)</f>
        <v>128.2</v>
      </c>
      <c r="BN9" s="5" t="s">
        <v>56</v>
      </c>
    </row>
    <row r="10" s="1" customFormat="1" spans="1:66">
      <c r="A10" s="35"/>
      <c r="B10" s="44" t="s">
        <v>18</v>
      </c>
      <c r="C10" s="35"/>
      <c r="D10" s="37"/>
      <c r="E10" s="15"/>
      <c r="F10" s="15"/>
      <c r="G10" s="35"/>
      <c r="H10" s="37"/>
      <c r="I10" s="15"/>
      <c r="J10" s="37"/>
      <c r="K10" s="15"/>
      <c r="L10" s="37"/>
      <c r="M10" s="15"/>
      <c r="N10" s="37"/>
      <c r="O10" s="15"/>
      <c r="P10" s="37"/>
      <c r="Q10" s="15"/>
      <c r="R10" s="37"/>
      <c r="S10" s="35"/>
      <c r="T10" s="37"/>
      <c r="U10" s="15"/>
      <c r="V10" s="37"/>
      <c r="W10" s="35"/>
      <c r="X10" s="37"/>
      <c r="Y10" s="35"/>
      <c r="Z10" s="15"/>
      <c r="AA10" s="35"/>
      <c r="AB10" s="15"/>
      <c r="AC10" s="35"/>
      <c r="AD10" s="15"/>
      <c r="AE10" s="35"/>
      <c r="AF10" s="15"/>
      <c r="AG10" s="35"/>
      <c r="AH10" s="15"/>
      <c r="AI10" s="35"/>
      <c r="AJ10" s="15"/>
      <c r="AK10" s="35"/>
      <c r="AL10" s="15"/>
      <c r="AM10" s="35"/>
      <c r="AN10" s="15"/>
      <c r="AO10" s="35"/>
      <c r="AP10" s="15"/>
      <c r="AQ10" s="35"/>
      <c r="AR10" s="15"/>
      <c r="AS10" s="35"/>
      <c r="AT10" s="15"/>
      <c r="AU10" s="35"/>
      <c r="AV10" s="37"/>
      <c r="AW10" s="15"/>
      <c r="AX10" s="37"/>
      <c r="AY10" s="35"/>
      <c r="AZ10" s="37"/>
      <c r="BA10" s="35"/>
      <c r="BB10" s="37"/>
      <c r="BC10" s="35"/>
      <c r="BD10" s="37"/>
      <c r="BE10" s="35"/>
      <c r="BF10" s="37"/>
      <c r="BG10" s="35"/>
      <c r="BH10" s="37"/>
      <c r="BI10" s="35"/>
      <c r="BJ10" s="37"/>
      <c r="BK10" s="35"/>
      <c r="BL10" s="37"/>
      <c r="BM10" s="7">
        <f t="shared" ref="BM10:BM23" si="0">SUM(C10:BL10)</f>
        <v>0</v>
      </c>
      <c r="BN10" s="5" t="s">
        <v>19</v>
      </c>
    </row>
    <row r="11" s="1" customFormat="1" spans="1:66">
      <c r="A11" s="35"/>
      <c r="B11" s="45" t="s">
        <v>20</v>
      </c>
      <c r="C11" s="35"/>
      <c r="D11" s="37"/>
      <c r="E11" s="15"/>
      <c r="F11" s="15"/>
      <c r="G11" s="35"/>
      <c r="H11" s="37"/>
      <c r="I11" s="15"/>
      <c r="J11" s="15"/>
      <c r="K11" s="35"/>
      <c r="L11" s="37"/>
      <c r="M11" s="35"/>
      <c r="N11" s="37"/>
      <c r="O11" s="35"/>
      <c r="P11" s="37"/>
      <c r="Q11" s="35"/>
      <c r="R11" s="37"/>
      <c r="S11" s="35"/>
      <c r="T11" s="37"/>
      <c r="U11" s="15"/>
      <c r="V11" s="37"/>
      <c r="W11" s="35"/>
      <c r="X11" s="37"/>
      <c r="Y11" s="35"/>
      <c r="Z11" s="15"/>
      <c r="AA11" s="35"/>
      <c r="AB11" s="15"/>
      <c r="AC11" s="35"/>
      <c r="AD11" s="15"/>
      <c r="AE11" s="35"/>
      <c r="AF11" s="15"/>
      <c r="AG11" s="35"/>
      <c r="AH11" s="15"/>
      <c r="AI11" s="35"/>
      <c r="AJ11" s="15"/>
      <c r="AK11" s="35"/>
      <c r="AL11" s="15"/>
      <c r="AM11" s="35"/>
      <c r="AN11" s="15"/>
      <c r="AO11" s="35"/>
      <c r="AP11" s="15"/>
      <c r="AQ11" s="35"/>
      <c r="AR11" s="15"/>
      <c r="AS11" s="35"/>
      <c r="AT11" s="15"/>
      <c r="AU11" s="35"/>
      <c r="AV11" s="37"/>
      <c r="AW11" s="15"/>
      <c r="AX11" s="37"/>
      <c r="AY11" s="35"/>
      <c r="AZ11" s="37"/>
      <c r="BA11" s="35"/>
      <c r="BB11" s="37"/>
      <c r="BC11" s="35"/>
      <c r="BD11" s="37"/>
      <c r="BE11" s="35"/>
      <c r="BF11" s="37">
        <v>12</v>
      </c>
      <c r="BG11" s="35"/>
      <c r="BH11" s="37"/>
      <c r="BI11" s="35"/>
      <c r="BJ11" s="37"/>
      <c r="BK11" s="35"/>
      <c r="BL11" s="37">
        <v>21</v>
      </c>
      <c r="BM11" s="7">
        <f t="shared" si="0"/>
        <v>33</v>
      </c>
      <c r="BN11" s="5" t="s">
        <v>20</v>
      </c>
    </row>
    <row r="12" s="1" customFormat="1" spans="1:66">
      <c r="A12" s="35"/>
      <c r="B12" s="45" t="s">
        <v>22</v>
      </c>
      <c r="C12" s="35" t="s">
        <v>283</v>
      </c>
      <c r="D12" s="15">
        <v>60</v>
      </c>
      <c r="E12" s="35" t="s">
        <v>23</v>
      </c>
      <c r="F12" s="37">
        <v>40</v>
      </c>
      <c r="G12" s="35"/>
      <c r="H12" s="37"/>
      <c r="I12" s="35"/>
      <c r="J12" s="37"/>
      <c r="K12" s="35"/>
      <c r="L12" s="37"/>
      <c r="M12" s="35"/>
      <c r="N12" s="37"/>
      <c r="O12" s="35"/>
      <c r="P12" s="37"/>
      <c r="Q12" s="35"/>
      <c r="R12" s="37"/>
      <c r="S12" s="35"/>
      <c r="T12" s="37"/>
      <c r="U12" s="15"/>
      <c r="V12" s="37"/>
      <c r="W12" s="35"/>
      <c r="X12" s="37"/>
      <c r="Y12" s="35"/>
      <c r="Z12" s="15"/>
      <c r="AA12" s="35"/>
      <c r="AB12" s="15"/>
      <c r="AC12" s="35"/>
      <c r="AD12" s="15"/>
      <c r="AE12" s="35"/>
      <c r="AF12" s="15"/>
      <c r="AG12" s="35"/>
      <c r="AH12" s="15"/>
      <c r="AI12" s="35"/>
      <c r="AJ12" s="15"/>
      <c r="AK12" s="35"/>
      <c r="AL12" s="15"/>
      <c r="AM12" s="35"/>
      <c r="AN12" s="15"/>
      <c r="AO12" s="35"/>
      <c r="AP12" s="15"/>
      <c r="AQ12" s="35"/>
      <c r="AR12" s="15"/>
      <c r="AS12" s="35"/>
      <c r="AT12" s="15"/>
      <c r="AU12" s="35"/>
      <c r="AV12" s="37"/>
      <c r="AW12" s="15"/>
      <c r="AX12" s="37"/>
      <c r="AY12" s="35"/>
      <c r="AZ12" s="37"/>
      <c r="BA12" s="35"/>
      <c r="BB12" s="37"/>
      <c r="BC12" s="35"/>
      <c r="BD12" s="37"/>
      <c r="BE12" s="35"/>
      <c r="BF12" s="37">
        <v>30.12</v>
      </c>
      <c r="BG12" s="35"/>
      <c r="BH12" s="37"/>
      <c r="BI12" s="35"/>
      <c r="BJ12" s="37"/>
      <c r="BK12" s="35"/>
      <c r="BL12" s="37">
        <v>45</v>
      </c>
      <c r="BM12" s="7">
        <f t="shared" si="0"/>
        <v>175.12</v>
      </c>
      <c r="BN12" s="5" t="s">
        <v>22</v>
      </c>
    </row>
    <row r="13" s="1" customFormat="1" spans="1:66">
      <c r="A13" s="35"/>
      <c r="B13" s="45" t="s">
        <v>25</v>
      </c>
      <c r="C13" s="35"/>
      <c r="D13" s="15">
        <v>105</v>
      </c>
      <c r="E13" s="35"/>
      <c r="F13" s="15">
        <v>105</v>
      </c>
      <c r="G13" s="35"/>
      <c r="H13" s="15">
        <v>105</v>
      </c>
      <c r="I13" s="35"/>
      <c r="J13" s="15">
        <v>105</v>
      </c>
      <c r="K13" s="35"/>
      <c r="L13" s="15">
        <v>105</v>
      </c>
      <c r="M13" s="35"/>
      <c r="N13" s="15">
        <v>105</v>
      </c>
      <c r="O13" s="35"/>
      <c r="P13" s="15">
        <v>105</v>
      </c>
      <c r="Q13" s="35"/>
      <c r="R13" s="37"/>
      <c r="S13" s="35"/>
      <c r="T13" s="37"/>
      <c r="U13" s="15"/>
      <c r="V13" s="37"/>
      <c r="W13" s="35"/>
      <c r="X13" s="37">
        <v>96</v>
      </c>
      <c r="Y13" s="35"/>
      <c r="Z13" s="15"/>
      <c r="AA13" s="35"/>
      <c r="AB13" s="15">
        <v>86</v>
      </c>
      <c r="AC13" s="35"/>
      <c r="AD13" s="15"/>
      <c r="AE13" s="35"/>
      <c r="AF13" s="15"/>
      <c r="AG13" s="35"/>
      <c r="AH13" s="15"/>
      <c r="AI13" s="35"/>
      <c r="AJ13" s="15"/>
      <c r="AK13" s="35"/>
      <c r="AL13" s="15"/>
      <c r="AM13" s="35"/>
      <c r="AN13" s="15">
        <v>90</v>
      </c>
      <c r="AO13" s="35"/>
      <c r="AP13" s="15">
        <v>88</v>
      </c>
      <c r="AQ13" s="35"/>
      <c r="AR13" s="15">
        <v>82</v>
      </c>
      <c r="AS13" s="35"/>
      <c r="AT13" s="15"/>
      <c r="AU13" s="35"/>
      <c r="AV13" s="37"/>
      <c r="AW13" s="15"/>
      <c r="AX13" s="37"/>
      <c r="AY13" s="35"/>
      <c r="AZ13" s="37"/>
      <c r="BA13" s="35"/>
      <c r="BB13" s="37"/>
      <c r="BC13" s="35"/>
      <c r="BD13" s="37"/>
      <c r="BE13" s="35"/>
      <c r="BF13" s="37"/>
      <c r="BG13" s="35"/>
      <c r="BH13" s="37">
        <v>105</v>
      </c>
      <c r="BI13" s="35"/>
      <c r="BJ13" s="37">
        <v>139</v>
      </c>
      <c r="BK13" s="35"/>
      <c r="BL13" s="37">
        <v>104</v>
      </c>
      <c r="BM13" s="7">
        <f t="shared" si="0"/>
        <v>1525</v>
      </c>
      <c r="BN13" s="5" t="s">
        <v>25</v>
      </c>
    </row>
    <row r="14" s="1" customFormat="1" spans="1:66">
      <c r="A14" s="10" t="s">
        <v>26</v>
      </c>
      <c r="B14" s="46" t="s">
        <v>27</v>
      </c>
      <c r="C14" s="5"/>
      <c r="D14" s="10"/>
      <c r="E14" s="5"/>
      <c r="F14" s="10"/>
      <c r="G14" s="5" t="s">
        <v>284</v>
      </c>
      <c r="H14" s="10">
        <v>600</v>
      </c>
      <c r="I14" s="5"/>
      <c r="J14" s="10"/>
      <c r="K14" s="5"/>
      <c r="L14" s="10"/>
      <c r="M14" s="5"/>
      <c r="N14" s="10"/>
      <c r="O14" s="5"/>
      <c r="P14" s="10"/>
      <c r="Q14" s="5"/>
      <c r="R14" s="10"/>
      <c r="S14" s="5"/>
      <c r="T14" s="10">
        <v>12</v>
      </c>
      <c r="U14" s="5"/>
      <c r="V14" s="10"/>
      <c r="W14" s="5"/>
      <c r="X14" s="10"/>
      <c r="Y14" s="5"/>
      <c r="Z14" s="10"/>
      <c r="AA14" s="5"/>
      <c r="AB14" s="10"/>
      <c r="AC14" s="5" t="s">
        <v>285</v>
      </c>
      <c r="AD14" s="10">
        <v>30</v>
      </c>
      <c r="AE14" s="5"/>
      <c r="AF14" s="10"/>
      <c r="AG14" s="5"/>
      <c r="AH14" s="10"/>
      <c r="AI14" s="5"/>
      <c r="AJ14" s="10"/>
      <c r="AK14" s="5"/>
      <c r="AL14" s="10">
        <v>17.7</v>
      </c>
      <c r="AM14" s="5"/>
      <c r="AN14" s="10">
        <v>30</v>
      </c>
      <c r="AO14" s="5"/>
      <c r="AP14" s="10"/>
      <c r="AQ14" s="5"/>
      <c r="AR14" s="10"/>
      <c r="AS14" s="5"/>
      <c r="AT14" s="10"/>
      <c r="AU14" s="5"/>
      <c r="AV14" s="10"/>
      <c r="AW14" s="5"/>
      <c r="AX14" s="10">
        <v>9</v>
      </c>
      <c r="AY14" s="5"/>
      <c r="AZ14" s="10"/>
      <c r="BA14" s="5"/>
      <c r="BB14" s="10"/>
      <c r="BC14" s="5"/>
      <c r="BD14" s="10"/>
      <c r="BE14" s="5"/>
      <c r="BF14" s="10"/>
      <c r="BG14" s="5"/>
      <c r="BH14" s="10"/>
      <c r="BI14" s="10"/>
      <c r="BJ14" s="10"/>
      <c r="BK14" s="10"/>
      <c r="BL14" s="10"/>
      <c r="BM14" s="7">
        <f t="shared" si="0"/>
        <v>698.7</v>
      </c>
      <c r="BN14" s="5" t="s">
        <v>27</v>
      </c>
    </row>
    <row r="15" s="1" customFormat="1" spans="1:66">
      <c r="A15" s="10" t="s">
        <v>29</v>
      </c>
      <c r="B15" s="46" t="s">
        <v>30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>
        <v>40.8</v>
      </c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40.8</v>
      </c>
      <c r="BN15" s="5" t="s">
        <v>31</v>
      </c>
    </row>
    <row r="16" s="1" customFormat="1" spans="1:66">
      <c r="A16" s="10" t="s">
        <v>32</v>
      </c>
      <c r="B16" s="46" t="s">
        <v>33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>
        <v>5</v>
      </c>
      <c r="BG16" s="5"/>
      <c r="BH16" s="10">
        <v>6</v>
      </c>
      <c r="BI16" s="10"/>
      <c r="BJ16" s="10"/>
      <c r="BK16" s="10"/>
      <c r="BL16" s="10"/>
      <c r="BM16" s="7">
        <f t="shared" si="0"/>
        <v>11</v>
      </c>
      <c r="BN16" s="5" t="s">
        <v>34</v>
      </c>
    </row>
    <row r="17" s="1" customFormat="1" spans="1:66">
      <c r="A17" s="10" t="s">
        <v>35</v>
      </c>
      <c r="B17" s="46" t="s">
        <v>36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0</v>
      </c>
      <c r="BN17" s="5" t="s">
        <v>36</v>
      </c>
    </row>
    <row r="18" s="1" customFormat="1" ht="17" spans="1:66">
      <c r="A18" s="11" t="s">
        <v>37</v>
      </c>
      <c r="B18" s="10" t="s">
        <v>38</v>
      </c>
      <c r="C18" s="5"/>
      <c r="D18" s="10"/>
      <c r="E18" s="5"/>
      <c r="F18" s="10"/>
      <c r="G18" s="35" t="s">
        <v>276</v>
      </c>
      <c r="H18" s="37">
        <v>2300</v>
      </c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35" t="s">
        <v>276</v>
      </c>
      <c r="Z18" s="15">
        <v>500</v>
      </c>
      <c r="AA18" s="5"/>
      <c r="AB18" s="10"/>
      <c r="AC18" s="5"/>
      <c r="AD18" s="10"/>
      <c r="AE18" s="5" t="s">
        <v>276</v>
      </c>
      <c r="AF18" s="10">
        <v>500</v>
      </c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 t="s">
        <v>286</v>
      </c>
      <c r="BB18" s="10">
        <v>320</v>
      </c>
      <c r="BC18" s="5"/>
      <c r="BD18" s="10"/>
      <c r="BE18" s="5"/>
      <c r="BF18" s="10">
        <v>26</v>
      </c>
      <c r="BG18" s="5"/>
      <c r="BH18" s="10"/>
      <c r="BI18" s="5"/>
      <c r="BJ18" s="10"/>
      <c r="BK18" s="5"/>
      <c r="BL18" s="10"/>
      <c r="BM18" s="7">
        <f t="shared" si="0"/>
        <v>3646</v>
      </c>
      <c r="BN18" s="5" t="s">
        <v>38</v>
      </c>
    </row>
    <row r="19" s="1" customFormat="1" spans="1:66">
      <c r="A19" s="10"/>
      <c r="B19" s="12" t="s">
        <v>40</v>
      </c>
      <c r="C19" s="10">
        <f>SUM(C3:D18)</f>
        <v>380</v>
      </c>
      <c r="D19" s="8"/>
      <c r="E19" s="10">
        <f>SUM(E3:F18)</f>
        <v>265</v>
      </c>
      <c r="F19" s="8"/>
      <c r="G19" s="10">
        <f>SUM(G3:H18)</f>
        <v>3360</v>
      </c>
      <c r="H19" s="8"/>
      <c r="I19" s="10">
        <f>SUM(I3:J18)</f>
        <v>145</v>
      </c>
      <c r="J19" s="8"/>
      <c r="K19" s="10">
        <f>SUM(K3:L18)</f>
        <v>229</v>
      </c>
      <c r="L19" s="8"/>
      <c r="M19" s="10">
        <f>SUM(M3:N18)</f>
        <v>237</v>
      </c>
      <c r="N19" s="8"/>
      <c r="O19" s="10">
        <f>SUM(O3:P18)</f>
        <v>212.6</v>
      </c>
      <c r="P19" s="8"/>
      <c r="Q19" s="10">
        <f>SUM(Q3:R18)</f>
        <v>101</v>
      </c>
      <c r="R19" s="8"/>
      <c r="S19" s="10">
        <f>SUM(S3:T18)</f>
        <v>32.5</v>
      </c>
      <c r="T19" s="8"/>
      <c r="U19" s="10">
        <f>SUM(U3:V18)</f>
        <v>124.5</v>
      </c>
      <c r="V19" s="8"/>
      <c r="W19" s="10">
        <f>SUM(W3:X18)</f>
        <v>69</v>
      </c>
      <c r="X19" s="8"/>
      <c r="Y19" s="10">
        <f>SUM(Y3:Z18)</f>
        <v>661.8</v>
      </c>
      <c r="Z19" s="8"/>
      <c r="AA19" s="10">
        <f>SUM(AA3:AB18)</f>
        <v>123</v>
      </c>
      <c r="AB19" s="8"/>
      <c r="AC19" s="10">
        <f>SUM(AC3:AD18)</f>
        <v>211.2</v>
      </c>
      <c r="AD19" s="8"/>
      <c r="AE19" s="10">
        <f>SUM(AE3:AF18)</f>
        <v>537</v>
      </c>
      <c r="AF19" s="8"/>
      <c r="AG19" s="10">
        <f>SUM(AG3:AH18)</f>
        <v>-188</v>
      </c>
      <c r="AH19" s="8"/>
      <c r="AI19" s="10">
        <f>SUM(AI3:AJ18)</f>
        <v>61</v>
      </c>
      <c r="AJ19" s="8"/>
      <c r="AK19" s="10">
        <f>SUM(AK3:AL18)</f>
        <v>38.7</v>
      </c>
      <c r="AL19" s="8"/>
      <c r="AM19" s="10">
        <f>SUM(AM3:AN18)</f>
        <v>180.6</v>
      </c>
      <c r="AN19" s="8"/>
      <c r="AO19" s="10">
        <f>SUM(AO3:AP18)</f>
        <v>-28</v>
      </c>
      <c r="AP19" s="8"/>
      <c r="AQ19" s="10">
        <f>SUM(AQ3:AR18)</f>
        <v>147</v>
      </c>
      <c r="AR19" s="8"/>
      <c r="AS19" s="10">
        <f>SUM(AS3:AT18)</f>
        <v>63</v>
      </c>
      <c r="AT19" s="8"/>
      <c r="AU19" s="10">
        <f>SUM(AU3:AV18)</f>
        <v>0</v>
      </c>
      <c r="AV19" s="8"/>
      <c r="AW19" s="10">
        <f>SUM(AW3:AX18)</f>
        <v>82.5</v>
      </c>
      <c r="AX19" s="8"/>
      <c r="AY19" s="10">
        <f>SUM(AY3:AZ18)</f>
        <v>24.2</v>
      </c>
      <c r="AZ19" s="8"/>
      <c r="BA19" s="10">
        <f>SUM(BA3:BB18)</f>
        <v>341</v>
      </c>
      <c r="BB19" s="8"/>
      <c r="BC19" s="10">
        <f>SUM(BC3:BD18)</f>
        <v>51</v>
      </c>
      <c r="BD19" s="8"/>
      <c r="BE19" s="10">
        <f>SUM(BE3:BF18)</f>
        <v>187.92</v>
      </c>
      <c r="BF19" s="8"/>
      <c r="BG19" s="10">
        <f>SUM(BG3:BH18)</f>
        <v>162.2</v>
      </c>
      <c r="BH19" s="8"/>
      <c r="BI19" s="10">
        <f>SUM(BI3:BJ18)</f>
        <v>289</v>
      </c>
      <c r="BJ19" s="8"/>
      <c r="BK19" s="10">
        <f>SUM(BK3:BL18)</f>
        <v>349.4</v>
      </c>
      <c r="BL19" s="8"/>
      <c r="BM19" s="13">
        <f t="shared" si="0"/>
        <v>8450.12</v>
      </c>
      <c r="BN19" s="12" t="s">
        <v>40</v>
      </c>
    </row>
    <row r="20" s="30" customFormat="1" spans="1:66">
      <c r="A20" s="5" t="s">
        <v>41</v>
      </c>
      <c r="B20" s="14" t="s">
        <v>42</v>
      </c>
      <c r="C20" s="17"/>
      <c r="D20" s="47"/>
      <c r="E20" s="17"/>
      <c r="F20" s="47"/>
      <c r="G20" s="17"/>
      <c r="H20" s="47"/>
      <c r="I20" s="17"/>
      <c r="J20" s="47"/>
      <c r="K20" s="17"/>
      <c r="L20" s="47"/>
      <c r="M20" s="17"/>
      <c r="N20" s="47"/>
      <c r="O20" s="17"/>
      <c r="P20" s="47"/>
      <c r="Q20" s="17"/>
      <c r="R20" s="47"/>
      <c r="S20" s="17"/>
      <c r="T20" s="47"/>
      <c r="U20" s="17"/>
      <c r="V20" s="47"/>
      <c r="Y20" s="17"/>
      <c r="Z20" s="47"/>
      <c r="AA20" s="17"/>
      <c r="AB20" s="47"/>
      <c r="AI20" s="17"/>
      <c r="AJ20" s="47"/>
      <c r="AK20" s="17"/>
      <c r="AL20" s="47"/>
      <c r="AM20" s="17"/>
      <c r="AN20" s="47"/>
      <c r="AO20" s="17"/>
      <c r="AP20" s="47"/>
      <c r="AQ20" s="17"/>
      <c r="AR20" s="47"/>
      <c r="AS20" s="17"/>
      <c r="AT20" s="47"/>
      <c r="AU20" s="17"/>
      <c r="AV20" s="47"/>
      <c r="AW20" s="17"/>
      <c r="AX20" s="47"/>
      <c r="AY20" s="17"/>
      <c r="AZ20" s="47"/>
      <c r="BA20" s="17"/>
      <c r="BB20" s="47"/>
      <c r="BC20" s="17"/>
      <c r="BD20" s="47"/>
      <c r="BE20" s="17"/>
      <c r="BF20" s="47"/>
      <c r="BG20" s="17"/>
      <c r="BH20" s="47"/>
      <c r="BI20" s="47" t="s">
        <v>277</v>
      </c>
      <c r="BJ20" s="47">
        <v>150</v>
      </c>
      <c r="BK20" s="47" t="s">
        <v>277</v>
      </c>
      <c r="BL20" s="47">
        <v>150</v>
      </c>
      <c r="BM20" s="7">
        <f t="shared" si="0"/>
        <v>300</v>
      </c>
      <c r="BN20" s="14" t="s">
        <v>42</v>
      </c>
    </row>
    <row r="21" s="1" customFormat="1" spans="1:66">
      <c r="A21" s="15"/>
      <c r="B21" s="14" t="s">
        <v>43</v>
      </c>
      <c r="C21" s="48" t="s">
        <v>105</v>
      </c>
      <c r="D21" s="48">
        <v>200</v>
      </c>
      <c r="E21" s="48"/>
      <c r="F21" s="48"/>
      <c r="G21" s="48" t="s">
        <v>105</v>
      </c>
      <c r="H21" s="48">
        <v>1000</v>
      </c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>
        <v>300</v>
      </c>
      <c r="W21" s="55"/>
      <c r="X21" s="56"/>
      <c r="Y21" s="48"/>
      <c r="Z21" s="48"/>
      <c r="AA21" s="48"/>
      <c r="AB21" s="48"/>
      <c r="AC21" s="55"/>
      <c r="AD21" s="56"/>
      <c r="AE21" s="55"/>
      <c r="AF21" s="56"/>
      <c r="AG21" s="55"/>
      <c r="AH21" s="56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 t="s">
        <v>44</v>
      </c>
      <c r="AT21" s="48">
        <v>2000</v>
      </c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 t="s">
        <v>105</v>
      </c>
      <c r="BL21" s="48">
        <v>600</v>
      </c>
      <c r="BM21" s="13">
        <f t="shared" si="0"/>
        <v>4100</v>
      </c>
      <c r="BN21" s="14" t="s">
        <v>43</v>
      </c>
    </row>
    <row r="22" s="1" customFormat="1" spans="1:66">
      <c r="A22" s="15"/>
      <c r="B22" s="16" t="s">
        <v>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 t="s">
        <v>287</v>
      </c>
      <c r="Z22" s="5">
        <v>1000</v>
      </c>
      <c r="AA22" s="5"/>
      <c r="AB22" s="5"/>
      <c r="AC22" s="5"/>
      <c r="AD22" s="5"/>
      <c r="AE22" s="5" t="s">
        <v>287</v>
      </c>
      <c r="AF22" s="5">
        <v>600</v>
      </c>
      <c r="AG22" s="5"/>
      <c r="AH22" s="5"/>
      <c r="AI22" s="5"/>
      <c r="AJ22" s="5"/>
      <c r="AK22" s="5"/>
      <c r="AL22" s="5"/>
      <c r="AM22" s="5"/>
      <c r="AN22" s="5"/>
      <c r="AO22" s="57"/>
      <c r="AP22" s="57"/>
      <c r="AQ22" s="57"/>
      <c r="AR22" s="5"/>
      <c r="AS22" s="5"/>
      <c r="AT22" s="5"/>
      <c r="AU22" s="5"/>
      <c r="AV22" s="5"/>
      <c r="AW22" s="5"/>
      <c r="AX22" s="5"/>
      <c r="AY22" s="48"/>
      <c r="AZ22" s="48"/>
      <c r="BA22" s="5"/>
      <c r="BB22" s="5"/>
      <c r="BC22" s="5"/>
      <c r="BD22" s="59"/>
      <c r="BE22" s="59"/>
      <c r="BF22" s="59"/>
      <c r="BG22" s="59"/>
      <c r="BH22" s="59"/>
      <c r="BI22" s="59"/>
      <c r="BJ22" s="59"/>
      <c r="BK22" s="59"/>
      <c r="BL22" s="59"/>
      <c r="BM22" s="7">
        <f t="shared" si="0"/>
        <v>1600</v>
      </c>
      <c r="BN22" s="16" t="s">
        <v>288</v>
      </c>
    </row>
    <row r="23" s="1" customFormat="1" spans="1:66">
      <c r="A23" s="15"/>
      <c r="B23" s="16" t="s">
        <v>46</v>
      </c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 t="s">
        <v>289</v>
      </c>
      <c r="P23" s="16">
        <v>60</v>
      </c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7"/>
      <c r="AP23" s="57"/>
      <c r="AQ23" s="57"/>
      <c r="AR23" s="5"/>
      <c r="AS23" s="5"/>
      <c r="AT23" s="5"/>
      <c r="AU23" s="5"/>
      <c r="AV23" s="5"/>
      <c r="AW23" s="5"/>
      <c r="AX23" s="5"/>
      <c r="AY23" s="48"/>
      <c r="AZ23" s="48"/>
      <c r="BA23" s="5"/>
      <c r="BB23" s="5"/>
      <c r="BC23" s="5"/>
      <c r="BD23" s="59"/>
      <c r="BE23" s="59" t="s">
        <v>270</v>
      </c>
      <c r="BF23" s="59">
        <v>120</v>
      </c>
      <c r="BG23" s="59"/>
      <c r="BH23" s="59"/>
      <c r="BI23" s="59" t="s">
        <v>270</v>
      </c>
      <c r="BJ23" s="59">
        <v>120</v>
      </c>
      <c r="BK23" s="59"/>
      <c r="BL23" s="59"/>
      <c r="BM23" s="7">
        <f t="shared" si="0"/>
        <v>300</v>
      </c>
      <c r="BN23" s="16" t="s">
        <v>46</v>
      </c>
    </row>
    <row r="24" s="1" customFormat="1" ht="17.6" spans="1:65">
      <c r="A24" s="15"/>
      <c r="B24"/>
      <c r="C24"/>
      <c r="D24" s="30"/>
      <c r="E24" s="30"/>
      <c r="F24" s="30"/>
      <c r="G24" s="30"/>
      <c r="H24" s="30"/>
      <c r="I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0"/>
      <c r="BE24" s="60"/>
      <c r="BF24" s="60"/>
      <c r="BG24" s="60"/>
      <c r="BH24" s="60"/>
      <c r="BI24" s="60"/>
      <c r="BJ24" s="60"/>
      <c r="BK24" s="60"/>
      <c r="BL24" s="60"/>
      <c r="BM24" s="60"/>
    </row>
    <row r="25" s="1" customFormat="1" ht="17.6" spans="1:65">
      <c r="A25" s="15"/>
      <c r="B25"/>
      <c r="C25"/>
      <c r="D25" s="49"/>
      <c r="E25" s="30"/>
      <c r="F25" s="30"/>
      <c r="G25" s="30"/>
      <c r="H25" s="30"/>
      <c r="I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0"/>
      <c r="BE25" s="60"/>
      <c r="BF25" s="60"/>
      <c r="BG25" s="60"/>
      <c r="BH25" s="60"/>
      <c r="BI25" s="60"/>
      <c r="BJ25" s="60"/>
      <c r="BK25" s="60"/>
      <c r="BL25" s="60"/>
      <c r="BM25" s="60"/>
    </row>
    <row r="26" s="1" customFormat="1" spans="1:65">
      <c r="A26" s="15"/>
      <c r="B26" s="30"/>
      <c r="C26" s="30"/>
      <c r="D26" s="30"/>
      <c r="E26" s="30"/>
      <c r="F26" s="30"/>
      <c r="G26" s="30"/>
      <c r="H26" s="30"/>
      <c r="I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0"/>
      <c r="BE26" s="60"/>
      <c r="BF26" s="60"/>
      <c r="BG26" s="60"/>
      <c r="BH26" s="60"/>
      <c r="BI26" s="60"/>
      <c r="BJ26" s="60"/>
      <c r="BK26" s="60"/>
      <c r="BL26" s="60"/>
      <c r="BM26" s="60"/>
    </row>
    <row r="27" s="1" customFormat="1" spans="1:65">
      <c r="A27" s="1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0"/>
      <c r="C28" s="30"/>
      <c r="D28" s="15"/>
      <c r="E28" s="15"/>
      <c r="F28" s="15"/>
      <c r="G28" s="15"/>
      <c r="H28" s="15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0"/>
      <c r="C29" s="30"/>
      <c r="D29" s="15"/>
      <c r="E29" s="15"/>
      <c r="F29" s="15"/>
      <c r="G29" s="15"/>
      <c r="H29" s="1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0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0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0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0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0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A3:A6"/>
    <mergeCell ref="A7:A13"/>
    <mergeCell ref="BM3:BM6"/>
  </mergeCells>
  <pageMargins left="0.75" right="0.75" top="1" bottom="1" header="0.511805555555556" footer="0.511805555555556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L36"/>
  <sheetViews>
    <sheetView topLeftCell="AB1" workbookViewId="0">
      <pane xSplit="27680" topLeftCell="A1" activePane="topLeft"/>
      <selection activeCell="AL21" sqref="AL21"/>
      <selection pane="topRight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9.57142857142857" style="1" customWidth="1"/>
    <col min="4" max="4" width="8.07142857142857" style="1" customWidth="1"/>
    <col min="5" max="5" width="5.57142857142857" style="1" customWidth="1"/>
    <col min="6" max="6" width="6.21428571428571" style="1" customWidth="1"/>
    <col min="7" max="7" width="5.57142857142857" style="1" customWidth="1"/>
    <col min="8" max="8" width="6.21428571428571" style="1" customWidth="1"/>
    <col min="9" max="9" width="7.57142857142857" style="1" customWidth="1"/>
    <col min="10" max="10" width="6.21428571428571" style="1" customWidth="1"/>
    <col min="11" max="11" width="14" style="1" customWidth="1"/>
    <col min="12" max="12" width="6.21428571428571" style="1" customWidth="1"/>
    <col min="13" max="13" width="9.57142857142857" style="1" customWidth="1"/>
    <col min="14" max="14" width="7.14285714285714" style="1" customWidth="1"/>
    <col min="15" max="15" width="14" style="1" customWidth="1"/>
    <col min="16" max="16" width="7.78571428571429" style="1" customWidth="1"/>
    <col min="17" max="17" width="3.57142857142857" style="1" customWidth="1"/>
    <col min="18" max="18" width="7.14285714285714" style="1" customWidth="1"/>
    <col min="19" max="19" width="5.57142857142857" style="1" customWidth="1"/>
    <col min="20" max="20" width="7.14285714285714" style="1" customWidth="1"/>
    <col min="21" max="21" width="9.57142857142857" style="1" customWidth="1"/>
    <col min="22" max="22" width="6.21428571428571" style="1" customWidth="1"/>
    <col min="23" max="23" width="14" style="1" customWidth="1"/>
    <col min="24" max="24" width="7.14285714285714" style="1" customWidth="1"/>
    <col min="25" max="25" width="5.57142857142857" style="1" customWidth="1"/>
    <col min="26" max="26" width="6.21428571428571" style="1" customWidth="1"/>
    <col min="27" max="27" width="7.57142857142857" style="1" customWidth="1"/>
    <col min="28" max="28" width="6.21428571428571" style="1" customWidth="1"/>
    <col min="29" max="29" width="7.57142857142857" style="1" customWidth="1"/>
    <col min="30" max="30" width="7.14285714285714" style="1" customWidth="1"/>
    <col min="31" max="31" width="7.57142857142857" style="1" customWidth="1"/>
    <col min="32" max="32" width="6.21428571428571" style="1" customWidth="1"/>
    <col min="33" max="33" width="7.57142857142857" style="1" customWidth="1"/>
    <col min="34" max="34" width="6.21428571428571" style="1" customWidth="1"/>
    <col min="35" max="35" width="7.57142857142857" style="1" customWidth="1"/>
    <col min="36" max="36" width="6.21428571428571" style="1" customWidth="1"/>
    <col min="37" max="37" width="11.7142857142857" style="1" customWidth="1"/>
    <col min="38" max="38" width="8.07142857142857" style="1" customWidth="1"/>
    <col min="39" max="39" width="5.57142857142857" style="1" customWidth="1"/>
    <col min="40" max="40" width="6.21428571428571" style="1" customWidth="1"/>
    <col min="41" max="41" width="9.57142857142857" style="1" customWidth="1"/>
    <col min="42" max="42" width="7.78571428571429" style="1" customWidth="1"/>
    <col min="43" max="43" width="16.3035714285714" style="1" customWidth="1"/>
    <col min="44" max="44" width="6.21428571428571" style="1" customWidth="1"/>
    <col min="45" max="45" width="15.5714285714286" style="1" customWidth="1"/>
    <col min="46" max="46" width="6.21428571428571" style="1" customWidth="1"/>
    <col min="47" max="47" width="3.57142857142857" style="1" customWidth="1"/>
    <col min="48" max="48" width="6.21428571428571" style="1" customWidth="1"/>
    <col min="49" max="49" width="5.57142857142857" style="1" customWidth="1"/>
    <col min="50" max="50" width="6.21428571428571" style="1" customWidth="1"/>
    <col min="51" max="51" width="14.0714285714286" style="1" customWidth="1"/>
    <col min="52" max="52" width="6.21428571428571" style="1" customWidth="1"/>
    <col min="53" max="53" width="5.57142857142857" style="1" customWidth="1"/>
    <col min="54" max="54" width="5.28571428571429" style="1" customWidth="1"/>
    <col min="55" max="55" width="15.4285714285714" style="1" customWidth="1"/>
    <col min="56" max="56" width="6.85714285714286" style="1" customWidth="1"/>
    <col min="57" max="57" width="5.57142857142857" style="1" customWidth="1"/>
    <col min="58" max="58" width="6.21428571428571" style="1" customWidth="1"/>
    <col min="59" max="59" width="7.57142857142857" style="1" customWidth="1"/>
    <col min="60" max="60" width="7.78571428571429" style="1" customWidth="1"/>
    <col min="61" max="61" width="16.2142857142857" style="1" customWidth="1"/>
    <col min="62" max="62" width="6.21428571428571" style="1" customWidth="1"/>
    <col min="63" max="63" width="8.21428571428571" style="1" customWidth="1"/>
    <col min="64" max="64" width="9.57142857142857" style="1" customWidth="1"/>
    <col min="65" max="14411" width="8.24107142857143" style="1"/>
    <col min="14412" max="16384" width="9.11607142857143" style="1"/>
  </cols>
  <sheetData>
    <row r="1" s="1" customFormat="1" spans="3:58">
      <c r="C1" s="31"/>
      <c r="D1" s="31"/>
      <c r="E1" s="31"/>
      <c r="F1" s="31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28"/>
      <c r="T1" s="28"/>
      <c r="U1" s="28"/>
      <c r="V1" s="28"/>
      <c r="W1" s="28"/>
      <c r="X1" s="28"/>
      <c r="Y1" s="28"/>
      <c r="Z1" s="28"/>
      <c r="AK1" s="16"/>
      <c r="AL1" s="16"/>
      <c r="BA1" s="58"/>
      <c r="BB1" s="58"/>
      <c r="BE1" s="61"/>
      <c r="BF1" s="61"/>
    </row>
    <row r="2" s="1" customFormat="1" spans="1:64">
      <c r="A2" s="32"/>
      <c r="B2" s="33" t="s">
        <v>1</v>
      </c>
      <c r="C2" s="34">
        <v>44501</v>
      </c>
      <c r="D2" s="3"/>
      <c r="E2" s="34">
        <v>44502</v>
      </c>
      <c r="F2" s="3"/>
      <c r="G2" s="34">
        <v>44503</v>
      </c>
      <c r="H2" s="3"/>
      <c r="I2" s="34">
        <v>44504</v>
      </c>
      <c r="J2" s="3"/>
      <c r="K2" s="34">
        <v>44505</v>
      </c>
      <c r="L2" s="3"/>
      <c r="M2" s="34">
        <v>44506</v>
      </c>
      <c r="N2" s="3"/>
      <c r="O2" s="34">
        <v>44507</v>
      </c>
      <c r="P2" s="3"/>
      <c r="Q2" s="34">
        <v>44508</v>
      </c>
      <c r="R2" s="3"/>
      <c r="S2" s="34">
        <v>44509</v>
      </c>
      <c r="T2" s="3"/>
      <c r="U2" s="34">
        <v>44510</v>
      </c>
      <c r="V2" s="3"/>
      <c r="W2" s="34">
        <v>44511</v>
      </c>
      <c r="X2" s="3"/>
      <c r="Y2" s="34">
        <v>44512</v>
      </c>
      <c r="Z2" s="3"/>
      <c r="AA2" s="34">
        <v>44513</v>
      </c>
      <c r="AB2" s="3"/>
      <c r="AC2" s="34">
        <v>44514</v>
      </c>
      <c r="AD2" s="3"/>
      <c r="AE2" s="34">
        <v>44515</v>
      </c>
      <c r="AF2" s="3"/>
      <c r="AG2" s="34">
        <v>44516</v>
      </c>
      <c r="AH2" s="3"/>
      <c r="AI2" s="34">
        <v>44517</v>
      </c>
      <c r="AJ2" s="3"/>
      <c r="AK2" s="34">
        <v>44518</v>
      </c>
      <c r="AL2" s="3"/>
      <c r="AM2" s="34">
        <v>44519</v>
      </c>
      <c r="AN2" s="3"/>
      <c r="AO2" s="34">
        <v>44520</v>
      </c>
      <c r="AP2" s="3"/>
      <c r="AQ2" s="34">
        <v>44521</v>
      </c>
      <c r="AR2" s="3"/>
      <c r="AS2" s="34">
        <v>44522</v>
      </c>
      <c r="AT2" s="3"/>
      <c r="AU2" s="34">
        <v>44523</v>
      </c>
      <c r="AV2" s="3"/>
      <c r="AW2" s="34">
        <v>44524</v>
      </c>
      <c r="AX2" s="3"/>
      <c r="AY2" s="34">
        <v>44525</v>
      </c>
      <c r="AZ2" s="3"/>
      <c r="BA2" s="34">
        <v>44526</v>
      </c>
      <c r="BB2" s="3"/>
      <c r="BC2" s="34">
        <v>44527</v>
      </c>
      <c r="BD2" s="3"/>
      <c r="BE2" s="34">
        <v>44528</v>
      </c>
      <c r="BF2" s="3"/>
      <c r="BG2" s="34">
        <v>44529</v>
      </c>
      <c r="BH2" s="3"/>
      <c r="BI2" s="34">
        <v>44530</v>
      </c>
      <c r="BJ2" s="3"/>
      <c r="BK2" s="34" t="s">
        <v>2</v>
      </c>
      <c r="BL2" s="2" t="s">
        <v>1</v>
      </c>
    </row>
    <row r="3" s="1" customFormat="1" spans="1:64">
      <c r="A3" s="35" t="s">
        <v>3</v>
      </c>
      <c r="B3" s="36" t="s">
        <v>4</v>
      </c>
      <c r="C3" s="35"/>
      <c r="D3" s="37"/>
      <c r="E3" s="51"/>
      <c r="F3" s="52"/>
      <c r="G3" s="15"/>
      <c r="H3" s="37">
        <v>10</v>
      </c>
      <c r="I3" s="35"/>
      <c r="J3" s="37"/>
      <c r="K3" s="35"/>
      <c r="L3" s="37"/>
      <c r="M3" s="35"/>
      <c r="N3" s="37">
        <v>9</v>
      </c>
      <c r="O3" s="35"/>
      <c r="P3" s="37"/>
      <c r="Q3" s="35"/>
      <c r="R3" s="37"/>
      <c r="S3" s="35"/>
      <c r="T3" s="37"/>
      <c r="U3" s="15"/>
      <c r="V3" s="37"/>
      <c r="W3" s="35"/>
      <c r="X3" s="37"/>
      <c r="Y3" s="35"/>
      <c r="Z3" s="15"/>
      <c r="AA3" s="35"/>
      <c r="AB3" s="15"/>
      <c r="AC3" s="35"/>
      <c r="AD3" s="15"/>
      <c r="AE3" s="35"/>
      <c r="AF3" s="15"/>
      <c r="AG3" s="35"/>
      <c r="AH3" s="15"/>
      <c r="AI3" s="35"/>
      <c r="AJ3" s="15"/>
      <c r="AK3" s="35"/>
      <c r="AL3" s="15"/>
      <c r="AM3" s="35"/>
      <c r="AN3" s="15"/>
      <c r="AO3" s="35"/>
      <c r="AP3" s="15"/>
      <c r="AQ3" s="35"/>
      <c r="AR3" s="15"/>
      <c r="AS3" s="35"/>
      <c r="AT3" s="15"/>
      <c r="AU3" s="35"/>
      <c r="AV3" s="37"/>
      <c r="AW3" s="15"/>
      <c r="AX3" s="37"/>
      <c r="AY3" s="35"/>
      <c r="AZ3" s="37"/>
      <c r="BA3" s="35"/>
      <c r="BB3" s="37"/>
      <c r="BC3" s="35"/>
      <c r="BD3" s="37"/>
      <c r="BE3" s="35"/>
      <c r="BF3" s="62"/>
      <c r="BG3" s="35"/>
      <c r="BH3" s="37">
        <v>9</v>
      </c>
      <c r="BI3" s="35"/>
      <c r="BJ3" s="37"/>
      <c r="BK3" s="7">
        <f>SUM(C3:BJ6)</f>
        <v>1249.85</v>
      </c>
      <c r="BL3" s="29" t="s">
        <v>4</v>
      </c>
    </row>
    <row r="4" s="1" customFormat="1" spans="1:64">
      <c r="A4" s="35"/>
      <c r="B4" s="36" t="s">
        <v>5</v>
      </c>
      <c r="C4" s="35"/>
      <c r="D4" s="37">
        <v>14</v>
      </c>
      <c r="E4" s="15"/>
      <c r="F4" s="37">
        <v>11</v>
      </c>
      <c r="G4" s="15"/>
      <c r="H4" s="37">
        <v>9</v>
      </c>
      <c r="I4" s="35"/>
      <c r="J4" s="37">
        <v>20</v>
      </c>
      <c r="K4" s="35"/>
      <c r="L4" s="37">
        <v>18</v>
      </c>
      <c r="M4" s="35"/>
      <c r="N4" s="37">
        <v>9</v>
      </c>
      <c r="O4" s="35"/>
      <c r="P4" s="37">
        <v>34</v>
      </c>
      <c r="Q4" s="35"/>
      <c r="R4" s="37"/>
      <c r="S4" s="35"/>
      <c r="T4" s="37">
        <v>14</v>
      </c>
      <c r="U4" s="15"/>
      <c r="V4" s="37">
        <v>14</v>
      </c>
      <c r="W4" s="35"/>
      <c r="X4" s="37">
        <v>12</v>
      </c>
      <c r="Y4" s="35"/>
      <c r="Z4" s="15">
        <v>14</v>
      </c>
      <c r="AA4" s="35"/>
      <c r="AB4" s="15">
        <v>13</v>
      </c>
      <c r="AC4" s="35" t="s">
        <v>290</v>
      </c>
      <c r="AD4" s="15">
        <v>150</v>
      </c>
      <c r="AE4" s="35"/>
      <c r="AF4" s="15">
        <v>13</v>
      </c>
      <c r="AG4" s="35"/>
      <c r="AH4" s="15">
        <v>11</v>
      </c>
      <c r="AI4" s="35"/>
      <c r="AJ4" s="15"/>
      <c r="AK4" s="35"/>
      <c r="AL4" s="15">
        <v>11</v>
      </c>
      <c r="AM4" s="35"/>
      <c r="AN4" s="15">
        <v>11</v>
      </c>
      <c r="AO4" s="35"/>
      <c r="AP4" s="15">
        <v>13</v>
      </c>
      <c r="AQ4" s="35"/>
      <c r="AR4" s="15">
        <v>11</v>
      </c>
      <c r="AS4" s="35"/>
      <c r="AT4" s="15"/>
      <c r="AU4" s="35"/>
      <c r="AV4" s="37"/>
      <c r="AW4" s="15"/>
      <c r="AX4" s="37">
        <v>13</v>
      </c>
      <c r="AY4" s="35"/>
      <c r="AZ4" s="37"/>
      <c r="BA4" s="35"/>
      <c r="BB4" s="37"/>
      <c r="BC4" s="35"/>
      <c r="BD4" s="37"/>
      <c r="BE4" s="35"/>
      <c r="BF4" s="62"/>
      <c r="BG4" s="35"/>
      <c r="BH4" s="37"/>
      <c r="BI4" s="35"/>
      <c r="BJ4" s="37">
        <v>16</v>
      </c>
      <c r="BK4" s="7"/>
      <c r="BL4" s="29" t="s">
        <v>5</v>
      </c>
    </row>
    <row r="5" s="1" customFormat="1" spans="1:64">
      <c r="A5" s="35"/>
      <c r="B5" s="36" t="s">
        <v>6</v>
      </c>
      <c r="C5" s="35"/>
      <c r="D5" s="15">
        <v>10</v>
      </c>
      <c r="E5" s="35"/>
      <c r="F5" s="15">
        <v>13</v>
      </c>
      <c r="G5" s="35"/>
      <c r="H5" s="15">
        <v>17</v>
      </c>
      <c r="I5" s="35"/>
      <c r="J5" s="37">
        <v>13</v>
      </c>
      <c r="K5" s="35"/>
      <c r="L5" s="37">
        <v>9</v>
      </c>
      <c r="M5" s="35"/>
      <c r="N5" s="37"/>
      <c r="O5" s="35"/>
      <c r="P5" s="37">
        <v>56</v>
      </c>
      <c r="Q5" s="35"/>
      <c r="R5" s="37">
        <v>14</v>
      </c>
      <c r="S5" s="35"/>
      <c r="T5" s="37">
        <v>163</v>
      </c>
      <c r="U5" s="15"/>
      <c r="V5" s="37">
        <v>12</v>
      </c>
      <c r="W5" s="35"/>
      <c r="X5" s="37">
        <v>12</v>
      </c>
      <c r="Y5" s="35"/>
      <c r="Z5" s="15">
        <v>25</v>
      </c>
      <c r="AA5" s="35"/>
      <c r="AB5" s="15">
        <v>24</v>
      </c>
      <c r="AC5" s="35"/>
      <c r="AD5" s="15">
        <v>10</v>
      </c>
      <c r="AE5" s="35"/>
      <c r="AF5" s="15">
        <v>12</v>
      </c>
      <c r="AG5" s="35"/>
      <c r="AH5" s="15">
        <v>54</v>
      </c>
      <c r="AI5" s="35"/>
      <c r="AJ5" s="15">
        <v>11</v>
      </c>
      <c r="AK5" s="35"/>
      <c r="AL5" s="15">
        <v>20</v>
      </c>
      <c r="AM5" s="35"/>
      <c r="AN5" s="15">
        <v>25</v>
      </c>
      <c r="AO5" s="35"/>
      <c r="AP5" s="15">
        <v>26.65</v>
      </c>
      <c r="AQ5" s="35"/>
      <c r="AR5" s="15"/>
      <c r="AS5" s="35"/>
      <c r="AT5" s="15"/>
      <c r="AU5" s="35"/>
      <c r="AV5" s="37"/>
      <c r="AW5" s="15"/>
      <c r="AX5" s="37">
        <v>35</v>
      </c>
      <c r="AY5" s="35"/>
      <c r="AZ5" s="37"/>
      <c r="BA5" s="35"/>
      <c r="BB5" s="37"/>
      <c r="BC5" s="35"/>
      <c r="BD5" s="37"/>
      <c r="BE5" s="35"/>
      <c r="BF5" s="62"/>
      <c r="BG5" s="35"/>
      <c r="BH5" s="37"/>
      <c r="BI5" s="35" t="s">
        <v>291</v>
      </c>
      <c r="BJ5" s="37">
        <v>50</v>
      </c>
      <c r="BK5" s="7"/>
      <c r="BL5" s="29" t="s">
        <v>6</v>
      </c>
    </row>
    <row r="6" s="1" customFormat="1" spans="1:64">
      <c r="A6" s="38"/>
      <c r="B6" s="39" t="s">
        <v>8</v>
      </c>
      <c r="C6" s="38"/>
      <c r="D6" s="40"/>
      <c r="E6" s="38"/>
      <c r="F6" s="40">
        <v>25</v>
      </c>
      <c r="G6" s="38"/>
      <c r="H6" s="40"/>
      <c r="I6" s="38"/>
      <c r="J6" s="53"/>
      <c r="K6" s="38"/>
      <c r="L6" s="53"/>
      <c r="M6" s="38"/>
      <c r="N6" s="53"/>
      <c r="O6" s="38"/>
      <c r="P6" s="53"/>
      <c r="Q6" s="38"/>
      <c r="R6" s="53"/>
      <c r="S6" s="38"/>
      <c r="T6" s="53"/>
      <c r="U6" s="40"/>
      <c r="V6" s="53"/>
      <c r="W6" s="38"/>
      <c r="X6" s="53"/>
      <c r="Y6" s="38"/>
      <c r="Z6" s="40"/>
      <c r="AA6" s="38"/>
      <c r="AB6" s="40"/>
      <c r="AC6" s="38"/>
      <c r="AD6" s="40"/>
      <c r="AE6" s="38"/>
      <c r="AF6" s="40"/>
      <c r="AG6" s="38"/>
      <c r="AH6" s="40"/>
      <c r="AI6" s="38"/>
      <c r="AJ6" s="40"/>
      <c r="AK6" s="38"/>
      <c r="AL6" s="40"/>
      <c r="AM6" s="38"/>
      <c r="AN6" s="40"/>
      <c r="AO6" s="38"/>
      <c r="AP6" s="40"/>
      <c r="AQ6" s="38"/>
      <c r="AR6" s="40">
        <v>43</v>
      </c>
      <c r="AS6" s="38"/>
      <c r="AT6" s="40">
        <v>44</v>
      </c>
      <c r="AU6" s="38"/>
      <c r="AV6" s="53">
        <v>13.8</v>
      </c>
      <c r="AW6" s="40"/>
      <c r="AX6" s="53"/>
      <c r="AY6" s="38"/>
      <c r="AZ6" s="53"/>
      <c r="BA6" s="38"/>
      <c r="BB6" s="53"/>
      <c r="BC6" s="38"/>
      <c r="BD6" s="53">
        <v>8.4</v>
      </c>
      <c r="BE6" s="38"/>
      <c r="BF6" s="63"/>
      <c r="BG6" s="38"/>
      <c r="BH6" s="53">
        <v>18</v>
      </c>
      <c r="BI6" s="38"/>
      <c r="BJ6" s="53">
        <v>27</v>
      </c>
      <c r="BK6" s="7"/>
      <c r="BL6" s="5" t="s">
        <v>8</v>
      </c>
    </row>
    <row r="7" s="1" customFormat="1" spans="1:64">
      <c r="A7" s="41" t="s">
        <v>11</v>
      </c>
      <c r="B7" s="42" t="s">
        <v>12</v>
      </c>
      <c r="C7" s="35"/>
      <c r="D7" s="37"/>
      <c r="E7" s="51"/>
      <c r="F7" s="51"/>
      <c r="G7" s="41"/>
      <c r="H7" s="52"/>
      <c r="I7" s="51"/>
      <c r="J7" s="52"/>
      <c r="K7" s="51"/>
      <c r="L7" s="52"/>
      <c r="M7" s="51"/>
      <c r="N7" s="37">
        <v>30</v>
      </c>
      <c r="O7" s="51"/>
      <c r="P7" s="52">
        <v>46</v>
      </c>
      <c r="Q7" s="51"/>
      <c r="R7" s="52"/>
      <c r="S7" s="51"/>
      <c r="T7" s="37">
        <v>33</v>
      </c>
      <c r="U7" s="51"/>
      <c r="V7" s="52"/>
      <c r="W7" s="41"/>
      <c r="X7" s="52"/>
      <c r="Y7" s="41"/>
      <c r="Z7" s="51"/>
      <c r="AA7" s="41"/>
      <c r="AB7" s="51"/>
      <c r="AC7" s="41"/>
      <c r="AD7" s="51"/>
      <c r="AE7" s="41"/>
      <c r="AF7" s="51"/>
      <c r="AG7" s="41"/>
      <c r="AH7" s="51">
        <v>24.1</v>
      </c>
      <c r="AI7" s="41"/>
      <c r="AJ7" s="51"/>
      <c r="AK7" s="41"/>
      <c r="AL7" s="51">
        <v>11</v>
      </c>
      <c r="AM7" s="41"/>
      <c r="AN7" s="51"/>
      <c r="AO7" s="41"/>
      <c r="AP7" s="51">
        <v>8</v>
      </c>
      <c r="AQ7" s="41"/>
      <c r="AR7" s="51">
        <v>5</v>
      </c>
      <c r="AS7" s="41"/>
      <c r="AT7" s="51"/>
      <c r="AU7" s="41"/>
      <c r="AV7" s="52"/>
      <c r="AW7" s="51"/>
      <c r="AX7" s="52">
        <v>7.5</v>
      </c>
      <c r="AY7" s="41"/>
      <c r="AZ7" s="52">
        <v>6</v>
      </c>
      <c r="BA7" s="41"/>
      <c r="BB7" s="52">
        <v>8</v>
      </c>
      <c r="BC7" s="41"/>
      <c r="BD7" s="52">
        <v>8</v>
      </c>
      <c r="BE7" s="41"/>
      <c r="BF7" s="52"/>
      <c r="BG7" s="41"/>
      <c r="BH7" s="52">
        <v>3</v>
      </c>
      <c r="BI7" s="41"/>
      <c r="BJ7" s="52">
        <v>8</v>
      </c>
      <c r="BK7" s="7">
        <f>SUM(C7:BJ7)</f>
        <v>197.6</v>
      </c>
      <c r="BL7" s="5" t="s">
        <v>12</v>
      </c>
    </row>
    <row r="8" s="1" customFormat="1" spans="1:64">
      <c r="A8" s="35"/>
      <c r="B8" s="42" t="s">
        <v>13</v>
      </c>
      <c r="C8" s="35"/>
      <c r="D8" s="37"/>
      <c r="E8" s="15"/>
      <c r="F8" s="15"/>
      <c r="G8" s="35"/>
      <c r="H8" s="37"/>
      <c r="I8" s="15"/>
      <c r="J8" s="37"/>
      <c r="K8" s="15"/>
      <c r="L8" s="37"/>
      <c r="M8" s="15"/>
      <c r="N8" s="37"/>
      <c r="O8" s="15"/>
      <c r="P8" s="37"/>
      <c r="Q8" s="15"/>
      <c r="R8" s="37"/>
      <c r="S8" s="54"/>
      <c r="T8" s="37"/>
      <c r="U8" s="15"/>
      <c r="V8" s="37"/>
      <c r="W8" s="35"/>
      <c r="X8" s="37"/>
      <c r="Y8" s="35"/>
      <c r="Z8" s="15"/>
      <c r="AA8" s="35"/>
      <c r="AB8" s="15"/>
      <c r="AC8" s="35"/>
      <c r="AD8" s="15"/>
      <c r="AE8" s="35"/>
      <c r="AF8" s="15"/>
      <c r="AG8" s="35"/>
      <c r="AH8" s="15"/>
      <c r="AI8" s="35"/>
      <c r="AJ8" s="15"/>
      <c r="AK8" s="35"/>
      <c r="AL8" s="15"/>
      <c r="AM8" s="35"/>
      <c r="AN8" s="15"/>
      <c r="AO8" s="35"/>
      <c r="AP8" s="15"/>
      <c r="AQ8" s="35"/>
      <c r="AR8" s="15"/>
      <c r="AS8" s="35"/>
      <c r="AT8" s="15"/>
      <c r="AU8" s="35"/>
      <c r="AV8" s="37"/>
      <c r="AW8" s="15"/>
      <c r="AX8" s="37"/>
      <c r="AY8" s="35"/>
      <c r="AZ8" s="37"/>
      <c r="BA8" s="35"/>
      <c r="BB8" s="37"/>
      <c r="BC8" s="35"/>
      <c r="BD8" s="37"/>
      <c r="BE8" s="35"/>
      <c r="BF8" s="37"/>
      <c r="BG8" s="35"/>
      <c r="BH8" s="37"/>
      <c r="BI8" s="35"/>
      <c r="BJ8" s="37"/>
      <c r="BK8" s="7">
        <f>SUM(C8:BJ8)</f>
        <v>0</v>
      </c>
      <c r="BL8" s="5" t="s">
        <v>13</v>
      </c>
    </row>
    <row r="9" s="1" customFormat="1" spans="1:64">
      <c r="A9" s="35"/>
      <c r="B9" s="43" t="s">
        <v>56</v>
      </c>
      <c r="C9" s="35"/>
      <c r="D9" s="37"/>
      <c r="E9" s="15"/>
      <c r="F9" s="15"/>
      <c r="G9" s="35"/>
      <c r="H9" s="37"/>
      <c r="I9" s="15"/>
      <c r="J9" s="37"/>
      <c r="K9" s="15"/>
      <c r="L9" s="37"/>
      <c r="M9" s="15"/>
      <c r="N9" s="37">
        <v>30</v>
      </c>
      <c r="O9" s="15"/>
      <c r="P9" s="37">
        <v>-100</v>
      </c>
      <c r="Q9" s="15"/>
      <c r="R9" s="37">
        <v>231</v>
      </c>
      <c r="S9" s="54"/>
      <c r="T9" s="37"/>
      <c r="U9" s="15"/>
      <c r="V9" s="37"/>
      <c r="W9" s="35"/>
      <c r="X9" s="37">
        <v>23</v>
      </c>
      <c r="Y9" s="35"/>
      <c r="Z9" s="15"/>
      <c r="AA9" s="35"/>
      <c r="AB9" s="15">
        <v>20</v>
      </c>
      <c r="AC9" s="35"/>
      <c r="AD9" s="15"/>
      <c r="AE9" s="35"/>
      <c r="AF9" s="15"/>
      <c r="AG9" s="35"/>
      <c r="AH9" s="15"/>
      <c r="AI9" s="35"/>
      <c r="AJ9" s="15">
        <v>30</v>
      </c>
      <c r="AK9" s="35"/>
      <c r="AL9" s="15">
        <v>73</v>
      </c>
      <c r="AM9" s="35"/>
      <c r="AN9" s="15"/>
      <c r="AO9" s="35"/>
      <c r="AP9" s="15">
        <v>-720</v>
      </c>
      <c r="AQ9" s="35"/>
      <c r="AR9" s="15"/>
      <c r="AS9" s="35"/>
      <c r="AT9" s="15"/>
      <c r="AU9" s="35"/>
      <c r="AV9" s="37"/>
      <c r="AW9" s="15"/>
      <c r="AX9" s="37"/>
      <c r="AY9" s="35"/>
      <c r="AZ9" s="37">
        <v>31.28</v>
      </c>
      <c r="BA9" s="35"/>
      <c r="BB9" s="37"/>
      <c r="BC9" s="35"/>
      <c r="BD9" s="37">
        <v>-50</v>
      </c>
      <c r="BE9" s="35"/>
      <c r="BF9" s="37"/>
      <c r="BG9" s="35"/>
      <c r="BH9" s="37">
        <v>-270</v>
      </c>
      <c r="BI9" s="35"/>
      <c r="BJ9" s="37"/>
      <c r="BK9" s="7">
        <f>SUM(C9:BJ9)</f>
        <v>-701.72</v>
      </c>
      <c r="BL9" s="5" t="s">
        <v>56</v>
      </c>
    </row>
    <row r="10" s="1" customFormat="1" spans="1:64">
      <c r="A10" s="35"/>
      <c r="B10" s="44" t="s">
        <v>18</v>
      </c>
      <c r="C10" s="35"/>
      <c r="D10" s="37"/>
      <c r="E10" s="15"/>
      <c r="F10" s="15"/>
      <c r="G10" s="35"/>
      <c r="H10" s="37"/>
      <c r="I10" s="15"/>
      <c r="J10" s="37"/>
      <c r="K10" s="15"/>
      <c r="L10" s="37"/>
      <c r="M10" s="15"/>
      <c r="N10" s="37"/>
      <c r="O10" s="15"/>
      <c r="P10" s="37"/>
      <c r="Q10" s="15"/>
      <c r="R10" s="37"/>
      <c r="S10" s="35"/>
      <c r="T10" s="37"/>
      <c r="U10" s="15"/>
      <c r="V10" s="37"/>
      <c r="W10" s="35"/>
      <c r="X10" s="37"/>
      <c r="Y10" s="35"/>
      <c r="Z10" s="15"/>
      <c r="AA10" s="35"/>
      <c r="AB10" s="15"/>
      <c r="AC10" s="35"/>
      <c r="AD10" s="15"/>
      <c r="AE10" s="35"/>
      <c r="AF10" s="15"/>
      <c r="AG10" s="35"/>
      <c r="AH10" s="15"/>
      <c r="AI10" s="35"/>
      <c r="AJ10" s="15"/>
      <c r="AK10" s="35"/>
      <c r="AL10" s="15"/>
      <c r="AM10" s="35"/>
      <c r="AN10" s="15"/>
      <c r="AO10" s="35"/>
      <c r="AP10" s="15"/>
      <c r="AQ10" s="35"/>
      <c r="AR10" s="15"/>
      <c r="AS10" s="35"/>
      <c r="AT10" s="15"/>
      <c r="AU10" s="35"/>
      <c r="AV10" s="37"/>
      <c r="AW10" s="15"/>
      <c r="AX10" s="37"/>
      <c r="AY10" s="35"/>
      <c r="AZ10" s="37"/>
      <c r="BA10" s="35"/>
      <c r="BB10" s="37"/>
      <c r="BC10" s="35"/>
      <c r="BD10" s="37"/>
      <c r="BE10" s="35"/>
      <c r="BF10" s="37"/>
      <c r="BG10" s="35"/>
      <c r="BH10" s="37"/>
      <c r="BI10" s="35"/>
      <c r="BJ10" s="37"/>
      <c r="BK10" s="7">
        <f t="shared" ref="BK10:BK23" si="0">SUM(C10:BJ10)</f>
        <v>0</v>
      </c>
      <c r="BL10" s="5" t="s">
        <v>19</v>
      </c>
    </row>
    <row r="11" s="1" customFormat="1" spans="1:64">
      <c r="A11" s="35"/>
      <c r="B11" s="45" t="s">
        <v>20</v>
      </c>
      <c r="C11" s="35"/>
      <c r="D11" s="37"/>
      <c r="E11" s="15"/>
      <c r="F11" s="15"/>
      <c r="G11" s="35"/>
      <c r="H11" s="37"/>
      <c r="I11" s="15"/>
      <c r="J11" s="15"/>
      <c r="K11" s="35"/>
      <c r="L11" s="37"/>
      <c r="M11" s="35"/>
      <c r="N11" s="37"/>
      <c r="O11" s="35"/>
      <c r="P11" s="37"/>
      <c r="Q11" s="35"/>
      <c r="R11" s="37"/>
      <c r="S11" s="35"/>
      <c r="T11" s="37"/>
      <c r="U11" s="15"/>
      <c r="V11" s="37"/>
      <c r="W11" s="35"/>
      <c r="X11" s="37"/>
      <c r="Y11" s="35"/>
      <c r="Z11" s="15"/>
      <c r="AA11" s="35"/>
      <c r="AB11" s="15"/>
      <c r="AC11" s="35"/>
      <c r="AD11" s="15"/>
      <c r="AE11" s="35"/>
      <c r="AF11" s="15"/>
      <c r="AG11" s="35"/>
      <c r="AH11" s="15"/>
      <c r="AI11" s="35"/>
      <c r="AJ11" s="15"/>
      <c r="AK11" s="35"/>
      <c r="AL11" s="15"/>
      <c r="AM11" s="35"/>
      <c r="AN11" s="15"/>
      <c r="AO11" s="35"/>
      <c r="AP11" s="15"/>
      <c r="AQ11" s="35"/>
      <c r="AR11" s="15"/>
      <c r="AS11" s="35"/>
      <c r="AT11" s="15"/>
      <c r="AU11" s="35"/>
      <c r="AV11" s="37"/>
      <c r="AW11" s="15"/>
      <c r="AX11" s="37"/>
      <c r="AY11" s="35"/>
      <c r="AZ11" s="37"/>
      <c r="BA11" s="35"/>
      <c r="BB11" s="37"/>
      <c r="BC11" s="35"/>
      <c r="BD11" s="37"/>
      <c r="BE11" s="35"/>
      <c r="BF11" s="37"/>
      <c r="BG11" s="35"/>
      <c r="BH11" s="37"/>
      <c r="BI11" s="35"/>
      <c r="BJ11" s="37"/>
      <c r="BK11" s="7">
        <f t="shared" si="0"/>
        <v>0</v>
      </c>
      <c r="BL11" s="5" t="s">
        <v>20</v>
      </c>
    </row>
    <row r="12" s="1" customFormat="1" spans="1:64">
      <c r="A12" s="35"/>
      <c r="B12" s="45" t="s">
        <v>22</v>
      </c>
      <c r="C12" s="35"/>
      <c r="D12" s="15"/>
      <c r="E12" s="35"/>
      <c r="F12" s="37">
        <v>26.7</v>
      </c>
      <c r="G12" s="35"/>
      <c r="H12" s="37"/>
      <c r="I12" s="35"/>
      <c r="J12" s="37"/>
      <c r="K12" s="35"/>
      <c r="L12" s="37"/>
      <c r="M12" s="35" t="s">
        <v>292</v>
      </c>
      <c r="N12" s="37">
        <v>99</v>
      </c>
      <c r="O12" s="35"/>
      <c r="P12" s="37"/>
      <c r="Q12" s="35"/>
      <c r="R12" s="37"/>
      <c r="S12" s="35"/>
      <c r="T12" s="37"/>
      <c r="U12" s="15"/>
      <c r="V12" s="37"/>
      <c r="W12" s="35"/>
      <c r="X12" s="37"/>
      <c r="Y12" s="35"/>
      <c r="Z12" s="15"/>
      <c r="AA12" s="35"/>
      <c r="AB12" s="15"/>
      <c r="AC12" s="35"/>
      <c r="AD12" s="15">
        <v>20</v>
      </c>
      <c r="AE12" s="35"/>
      <c r="AF12" s="15"/>
      <c r="AG12" s="35"/>
      <c r="AH12" s="15"/>
      <c r="AI12" s="35"/>
      <c r="AJ12" s="15"/>
      <c r="AK12" s="35"/>
      <c r="AL12" s="15"/>
      <c r="AM12" s="35"/>
      <c r="AN12" s="15"/>
      <c r="AO12" s="35"/>
      <c r="AP12" s="15"/>
      <c r="AQ12" s="35"/>
      <c r="AR12" s="15"/>
      <c r="AS12" s="35"/>
      <c r="AT12" s="15"/>
      <c r="AU12" s="35"/>
      <c r="AV12" s="37"/>
      <c r="AW12" s="15"/>
      <c r="AX12" s="37"/>
      <c r="AY12" s="35"/>
      <c r="AZ12" s="37"/>
      <c r="BA12" s="35"/>
      <c r="BB12" s="37"/>
      <c r="BC12" s="35"/>
      <c r="BD12" s="37"/>
      <c r="BE12" s="35"/>
      <c r="BF12" s="37"/>
      <c r="BG12" s="35"/>
      <c r="BH12" s="37"/>
      <c r="BI12" s="35"/>
      <c r="BJ12" s="37"/>
      <c r="BK12" s="7">
        <f t="shared" si="0"/>
        <v>145.7</v>
      </c>
      <c r="BL12" s="5" t="s">
        <v>22</v>
      </c>
    </row>
    <row r="13" s="1" customFormat="1" spans="1:64">
      <c r="A13" s="35"/>
      <c r="B13" s="45" t="s">
        <v>25</v>
      </c>
      <c r="C13" s="35"/>
      <c r="D13" s="15"/>
      <c r="E13" s="35"/>
      <c r="F13" s="37"/>
      <c r="G13" s="35"/>
      <c r="H13" s="37"/>
      <c r="I13" s="35"/>
      <c r="J13" s="37"/>
      <c r="K13" s="35"/>
      <c r="L13" s="37"/>
      <c r="M13" s="35" t="s">
        <v>293</v>
      </c>
      <c r="N13" s="37">
        <v>102</v>
      </c>
      <c r="O13" s="35"/>
      <c r="P13" s="37">
        <v>121</v>
      </c>
      <c r="Q13" s="35"/>
      <c r="R13" s="37"/>
      <c r="S13" s="35"/>
      <c r="T13" s="37"/>
      <c r="U13" s="15"/>
      <c r="V13" s="37"/>
      <c r="W13" s="35"/>
      <c r="X13" s="37"/>
      <c r="Y13" s="35"/>
      <c r="Z13" s="15"/>
      <c r="AA13" s="35"/>
      <c r="AB13" s="15">
        <v>96</v>
      </c>
      <c r="AC13" s="35"/>
      <c r="AD13" s="15"/>
      <c r="AE13" s="35"/>
      <c r="AF13" s="15"/>
      <c r="AG13" s="35"/>
      <c r="AH13" s="15">
        <v>99</v>
      </c>
      <c r="AI13" s="35"/>
      <c r="AJ13" s="15"/>
      <c r="AK13" s="35" t="s">
        <v>66</v>
      </c>
      <c r="AL13" s="15">
        <v>775</v>
      </c>
      <c r="AM13" s="35"/>
      <c r="AN13" s="15"/>
      <c r="AO13" s="35"/>
      <c r="AP13" s="15"/>
      <c r="AQ13" s="35"/>
      <c r="AR13" s="15"/>
      <c r="AS13" s="35"/>
      <c r="AT13" s="15"/>
      <c r="AU13" s="35"/>
      <c r="AV13" s="37"/>
      <c r="AW13" s="15"/>
      <c r="AX13" s="37"/>
      <c r="AY13" s="35"/>
      <c r="AZ13" s="37"/>
      <c r="BA13" s="35"/>
      <c r="BB13" s="37"/>
      <c r="BC13" s="35"/>
      <c r="BD13" s="37"/>
      <c r="BE13" s="35"/>
      <c r="BF13" s="37"/>
      <c r="BG13" s="35"/>
      <c r="BH13" s="37"/>
      <c r="BI13" s="35"/>
      <c r="BJ13" s="37"/>
      <c r="BK13" s="7">
        <f t="shared" si="0"/>
        <v>1193</v>
      </c>
      <c r="BL13" s="5" t="s">
        <v>25</v>
      </c>
    </row>
    <row r="14" s="1" customFormat="1" spans="1:64">
      <c r="A14" s="10" t="s">
        <v>26</v>
      </c>
      <c r="B14" s="46" t="s">
        <v>27</v>
      </c>
      <c r="C14" s="5"/>
      <c r="D14" s="10"/>
      <c r="E14" s="5"/>
      <c r="F14" s="10">
        <v>13.7</v>
      </c>
      <c r="G14" s="5" t="s">
        <v>96</v>
      </c>
      <c r="H14" s="10">
        <v>50</v>
      </c>
      <c r="I14" s="5"/>
      <c r="J14" s="10"/>
      <c r="K14" s="5"/>
      <c r="L14" s="10"/>
      <c r="M14" s="5"/>
      <c r="N14" s="10"/>
      <c r="O14" s="5"/>
      <c r="P14" s="10">
        <v>15</v>
      </c>
      <c r="Q14" s="5"/>
      <c r="R14" s="10"/>
      <c r="S14" s="5"/>
      <c r="T14" s="10"/>
      <c r="U14" s="5"/>
      <c r="V14" s="10"/>
      <c r="W14" s="5"/>
      <c r="X14" s="10"/>
      <c r="Y14" s="5"/>
      <c r="Z14" s="10"/>
      <c r="AA14" s="5"/>
      <c r="AB14" s="10"/>
      <c r="AC14" s="5"/>
      <c r="AD14" s="10"/>
      <c r="AE14" s="5"/>
      <c r="AF14" s="10"/>
      <c r="AG14" s="5"/>
      <c r="AH14" s="10"/>
      <c r="AI14" s="5"/>
      <c r="AJ14" s="10"/>
      <c r="AK14" s="5"/>
      <c r="AL14" s="10"/>
      <c r="AM14" s="5"/>
      <c r="AN14" s="10"/>
      <c r="AO14" s="5" t="s">
        <v>294</v>
      </c>
      <c r="AP14" s="10">
        <v>431</v>
      </c>
      <c r="AQ14" s="5"/>
      <c r="AR14" s="10"/>
      <c r="AS14" s="5"/>
      <c r="AT14" s="10"/>
      <c r="AU14" s="5"/>
      <c r="AV14" s="10"/>
      <c r="AW14" s="5"/>
      <c r="AX14" s="10"/>
      <c r="AY14" s="5"/>
      <c r="AZ14" s="10"/>
      <c r="BA14" s="5"/>
      <c r="BB14" s="10"/>
      <c r="BC14" s="5"/>
      <c r="BD14" s="10"/>
      <c r="BE14" s="5"/>
      <c r="BF14" s="10"/>
      <c r="BG14" s="5"/>
      <c r="BH14" s="10"/>
      <c r="BI14" s="10"/>
      <c r="BJ14" s="10"/>
      <c r="BK14" s="7">
        <f t="shared" si="0"/>
        <v>509.7</v>
      </c>
      <c r="BL14" s="5" t="s">
        <v>27</v>
      </c>
    </row>
    <row r="15" s="1" customFormat="1" spans="1:64">
      <c r="A15" s="10" t="s">
        <v>29</v>
      </c>
      <c r="B15" s="46" t="s">
        <v>30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>
        <v>15</v>
      </c>
      <c r="S15" s="5"/>
      <c r="T15" s="10"/>
      <c r="U15" s="5"/>
      <c r="V15" s="10"/>
      <c r="W15" s="5"/>
      <c r="X15" s="10">
        <f>449.6-83.5</f>
        <v>366.1</v>
      </c>
      <c r="Y15" s="5"/>
      <c r="Z15" s="10"/>
      <c r="AA15" s="5"/>
      <c r="AB15" s="10">
        <v>16.8</v>
      </c>
      <c r="AC15" s="5"/>
      <c r="AD15" s="10"/>
      <c r="AE15" s="5"/>
      <c r="AF15" s="10">
        <v>12</v>
      </c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7">
        <f t="shared" si="0"/>
        <v>409.9</v>
      </c>
      <c r="BL15" s="5" t="s">
        <v>31</v>
      </c>
    </row>
    <row r="16" s="1" customFormat="1" spans="1:64">
      <c r="A16" s="10" t="s">
        <v>32</v>
      </c>
      <c r="B16" s="46" t="s">
        <v>33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/>
      <c r="BJ16" s="10"/>
      <c r="BK16" s="7">
        <f t="shared" si="0"/>
        <v>0</v>
      </c>
      <c r="BL16" s="5" t="s">
        <v>34</v>
      </c>
    </row>
    <row r="17" s="1" customFormat="1" spans="1:64">
      <c r="A17" s="10" t="s">
        <v>35</v>
      </c>
      <c r="B17" s="46" t="s">
        <v>36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7">
        <f t="shared" si="0"/>
        <v>0</v>
      </c>
      <c r="BL17" s="5" t="s">
        <v>36</v>
      </c>
    </row>
    <row r="18" s="1" customFormat="1" ht="17" spans="1:64">
      <c r="A18" s="11" t="s">
        <v>37</v>
      </c>
      <c r="B18" s="10" t="s">
        <v>38</v>
      </c>
      <c r="C18" s="5"/>
      <c r="D18" s="10"/>
      <c r="E18" s="5"/>
      <c r="F18" s="10"/>
      <c r="G18" s="5"/>
      <c r="H18" s="10"/>
      <c r="I18" s="5"/>
      <c r="J18" s="10"/>
      <c r="K18" s="5"/>
      <c r="L18" s="10"/>
      <c r="M18" s="5"/>
      <c r="N18" s="10"/>
      <c r="O18" s="5"/>
      <c r="P18" s="10"/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/>
      <c r="AE18" s="5"/>
      <c r="AF18" s="10"/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/>
      <c r="AW18" s="5"/>
      <c r="AX18" s="10"/>
      <c r="AY18" s="5"/>
      <c r="AZ18" s="10"/>
      <c r="BA18" s="5"/>
      <c r="BB18" s="10"/>
      <c r="BC18" s="5"/>
      <c r="BD18" s="10"/>
      <c r="BE18" s="5"/>
      <c r="BF18" s="10"/>
      <c r="BG18" s="5"/>
      <c r="BH18" s="10"/>
      <c r="BI18" s="5"/>
      <c r="BJ18" s="10"/>
      <c r="BK18" s="7">
        <f t="shared" si="0"/>
        <v>0</v>
      </c>
      <c r="BL18" s="5" t="s">
        <v>38</v>
      </c>
    </row>
    <row r="19" s="1" customFormat="1" spans="1:64">
      <c r="A19" s="10"/>
      <c r="B19" s="12" t="s">
        <v>40</v>
      </c>
      <c r="C19" s="10">
        <f>SUM(C3:D18)</f>
        <v>24</v>
      </c>
      <c r="D19" s="8"/>
      <c r="E19" s="10">
        <f>SUM(E3:F18)</f>
        <v>89.4</v>
      </c>
      <c r="F19" s="8"/>
      <c r="G19" s="10">
        <f>SUM(G3:H18)</f>
        <v>86</v>
      </c>
      <c r="H19" s="8"/>
      <c r="I19" s="10">
        <f>SUM(I3:J18)</f>
        <v>33</v>
      </c>
      <c r="J19" s="8"/>
      <c r="K19" s="10">
        <f>SUM(K3:L18)</f>
        <v>27</v>
      </c>
      <c r="L19" s="8"/>
      <c r="M19" s="10">
        <f>SUM(M3:N18)</f>
        <v>279</v>
      </c>
      <c r="N19" s="8"/>
      <c r="O19" s="10">
        <f>SUM(O3:P18)</f>
        <v>172</v>
      </c>
      <c r="P19" s="8"/>
      <c r="Q19" s="10">
        <f>SUM(Q3:R18)</f>
        <v>260</v>
      </c>
      <c r="R19" s="8"/>
      <c r="S19" s="10">
        <f>SUM(S3:T18)</f>
        <v>210</v>
      </c>
      <c r="T19" s="8"/>
      <c r="U19" s="10">
        <f>SUM(U3:V18)</f>
        <v>26</v>
      </c>
      <c r="V19" s="8"/>
      <c r="W19" s="10">
        <f>SUM(W3:X18)</f>
        <v>413.1</v>
      </c>
      <c r="X19" s="8"/>
      <c r="Y19" s="10">
        <f>SUM(Y3:Z18)</f>
        <v>39</v>
      </c>
      <c r="Z19" s="8"/>
      <c r="AA19" s="10">
        <f>SUM(AA3:AB18)</f>
        <v>169.8</v>
      </c>
      <c r="AB19" s="8"/>
      <c r="AC19" s="10">
        <f>SUM(AC3:AD18)</f>
        <v>180</v>
      </c>
      <c r="AD19" s="8"/>
      <c r="AE19" s="10">
        <f>SUM(AE3:AF18)</f>
        <v>37</v>
      </c>
      <c r="AF19" s="8"/>
      <c r="AG19" s="10">
        <f>SUM(AG3:AH18)</f>
        <v>188.1</v>
      </c>
      <c r="AH19" s="8"/>
      <c r="AI19" s="10">
        <f>SUM(AI3:AJ18)</f>
        <v>41</v>
      </c>
      <c r="AJ19" s="8"/>
      <c r="AK19" s="10">
        <f>SUM(AK3:AL18)</f>
        <v>890</v>
      </c>
      <c r="AL19" s="8"/>
      <c r="AM19" s="10">
        <f>SUM(AM3:AN18)</f>
        <v>36</v>
      </c>
      <c r="AN19" s="8"/>
      <c r="AO19" s="10">
        <f>SUM(AO3:AP18)</f>
        <v>-241.35</v>
      </c>
      <c r="AP19" s="8"/>
      <c r="AQ19" s="10">
        <f>SUM(AQ3:AR18)</f>
        <v>59</v>
      </c>
      <c r="AR19" s="8"/>
      <c r="AS19" s="10">
        <f>SUM(AS3:AT18)</f>
        <v>44</v>
      </c>
      <c r="AT19" s="8"/>
      <c r="AU19" s="10">
        <f>SUM(AU3:AV18)</f>
        <v>13.8</v>
      </c>
      <c r="AV19" s="8"/>
      <c r="AW19" s="10">
        <f>SUM(AW3:AX18)</f>
        <v>55.5</v>
      </c>
      <c r="AX19" s="8"/>
      <c r="AY19" s="10">
        <f>SUM(AY3:AZ18)</f>
        <v>37.28</v>
      </c>
      <c r="AZ19" s="8"/>
      <c r="BA19" s="10">
        <f>SUM(BA3:BB18)</f>
        <v>8</v>
      </c>
      <c r="BB19" s="8"/>
      <c r="BC19" s="10">
        <f>SUM(BC3:BD18)</f>
        <v>-33.6</v>
      </c>
      <c r="BD19" s="8"/>
      <c r="BE19" s="10">
        <f>SUM(BE3:BF18)</f>
        <v>0</v>
      </c>
      <c r="BF19" s="8"/>
      <c r="BG19" s="10">
        <f>SUM(BG3:BH18)</f>
        <v>-240</v>
      </c>
      <c r="BH19" s="8"/>
      <c r="BI19" s="10">
        <f>SUM(BI3:BJ18)</f>
        <v>101</v>
      </c>
      <c r="BJ19" s="8"/>
      <c r="BK19" s="13">
        <f t="shared" si="0"/>
        <v>3004.03</v>
      </c>
      <c r="BL19" s="12" t="s">
        <v>40</v>
      </c>
    </row>
    <row r="20" s="30" customFormat="1" spans="1:64">
      <c r="A20" s="5" t="s">
        <v>41</v>
      </c>
      <c r="B20" s="14" t="s">
        <v>42</v>
      </c>
      <c r="C20" s="17"/>
      <c r="D20" s="47"/>
      <c r="E20" s="17"/>
      <c r="F20" s="47"/>
      <c r="G20" s="17"/>
      <c r="H20" s="47"/>
      <c r="I20" s="17"/>
      <c r="J20" s="47"/>
      <c r="K20" s="17"/>
      <c r="L20" s="47"/>
      <c r="M20" s="17" t="s">
        <v>277</v>
      </c>
      <c r="N20" s="47">
        <v>150</v>
      </c>
      <c r="O20" s="17"/>
      <c r="P20" s="47"/>
      <c r="Q20" s="17"/>
      <c r="R20" s="47"/>
      <c r="S20" s="17"/>
      <c r="T20" s="47"/>
      <c r="U20" s="17"/>
      <c r="V20" s="47"/>
      <c r="Y20" s="17"/>
      <c r="Z20" s="47"/>
      <c r="AA20" s="17"/>
      <c r="AB20" s="47"/>
      <c r="AI20" s="17"/>
      <c r="AJ20" s="47"/>
      <c r="AK20" s="17"/>
      <c r="AL20" s="47"/>
      <c r="AM20" s="17"/>
      <c r="AN20" s="47"/>
      <c r="AO20" s="17"/>
      <c r="AP20" s="47"/>
      <c r="AQ20" s="17"/>
      <c r="AR20" s="47"/>
      <c r="AS20" s="17"/>
      <c r="AT20" s="47"/>
      <c r="AU20" s="17"/>
      <c r="AV20" s="47"/>
      <c r="AW20" s="17"/>
      <c r="AX20" s="47"/>
      <c r="AY20" s="17"/>
      <c r="AZ20" s="47"/>
      <c r="BA20" s="17"/>
      <c r="BB20" s="47"/>
      <c r="BC20" s="17"/>
      <c r="BD20" s="47"/>
      <c r="BE20" s="17"/>
      <c r="BF20" s="47"/>
      <c r="BG20" s="17"/>
      <c r="BH20" s="47"/>
      <c r="BI20" s="47"/>
      <c r="BJ20" s="47"/>
      <c r="BK20" s="7">
        <f t="shared" si="0"/>
        <v>150</v>
      </c>
      <c r="BL20" s="14" t="s">
        <v>42</v>
      </c>
    </row>
    <row r="21" s="1" customFormat="1" spans="1:64">
      <c r="A21" s="15"/>
      <c r="B21" s="14" t="s">
        <v>43</v>
      </c>
      <c r="C21" s="48" t="s">
        <v>44</v>
      </c>
      <c r="D21" s="48">
        <v>2400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 t="s">
        <v>44</v>
      </c>
      <c r="R21" s="48">
        <v>600</v>
      </c>
      <c r="S21" s="48"/>
      <c r="T21" s="48"/>
      <c r="U21" s="48"/>
      <c r="V21" s="48"/>
      <c r="W21" s="55"/>
      <c r="X21" s="56"/>
      <c r="Y21" s="48"/>
      <c r="Z21" s="48"/>
      <c r="AA21" s="48"/>
      <c r="AB21" s="48"/>
      <c r="AC21" s="55"/>
      <c r="AD21" s="56"/>
      <c r="AE21" s="55"/>
      <c r="AF21" s="56"/>
      <c r="AG21" s="55"/>
      <c r="AH21" s="56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13">
        <f t="shared" si="0"/>
        <v>3000</v>
      </c>
      <c r="BL21" s="14" t="s">
        <v>43</v>
      </c>
    </row>
    <row r="22" s="1" customFormat="1" spans="1:64">
      <c r="A22" s="15"/>
      <c r="B22" s="16" t="s">
        <v>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7"/>
      <c r="AP22" s="57"/>
      <c r="AQ22" s="57"/>
      <c r="AR22" s="5"/>
      <c r="AS22" s="5"/>
      <c r="AT22" s="5"/>
      <c r="AU22" s="5"/>
      <c r="AV22" s="5"/>
      <c r="AW22" s="5"/>
      <c r="AX22" s="5"/>
      <c r="AY22" s="48"/>
      <c r="AZ22" s="48"/>
      <c r="BA22" s="5"/>
      <c r="BB22" s="5"/>
      <c r="BC22" s="5"/>
      <c r="BD22" s="59"/>
      <c r="BE22" s="59"/>
      <c r="BF22" s="59"/>
      <c r="BG22" s="59"/>
      <c r="BH22" s="59"/>
      <c r="BI22" s="59"/>
      <c r="BJ22" s="59"/>
      <c r="BK22" s="7">
        <f t="shared" si="0"/>
        <v>0</v>
      </c>
      <c r="BL22" s="16" t="s">
        <v>288</v>
      </c>
    </row>
    <row r="23" s="1" customFormat="1" spans="1:64">
      <c r="A23" s="15"/>
      <c r="B23" s="16" t="s">
        <v>46</v>
      </c>
      <c r="C23" s="16" t="s">
        <v>295</v>
      </c>
      <c r="D23" s="16">
        <v>-1400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 t="s">
        <v>296</v>
      </c>
      <c r="X23" s="5">
        <v>300</v>
      </c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7"/>
      <c r="AP23" s="57"/>
      <c r="AQ23" s="57"/>
      <c r="AR23" s="5"/>
      <c r="AS23" s="5"/>
      <c r="AT23" s="5"/>
      <c r="AU23" s="5"/>
      <c r="AV23" s="5"/>
      <c r="AW23" s="5"/>
      <c r="AX23" s="5"/>
      <c r="AY23" s="48"/>
      <c r="AZ23" s="48"/>
      <c r="BA23" s="5"/>
      <c r="BB23" s="5"/>
      <c r="BC23" s="5"/>
      <c r="BD23" s="59"/>
      <c r="BE23" s="59"/>
      <c r="BF23" s="59"/>
      <c r="BG23" s="59"/>
      <c r="BH23" s="59"/>
      <c r="BI23" s="59"/>
      <c r="BJ23" s="59"/>
      <c r="BK23" s="7">
        <f t="shared" si="0"/>
        <v>-1100</v>
      </c>
      <c r="BL23" s="16" t="s">
        <v>46</v>
      </c>
    </row>
    <row r="24" s="1" customFormat="1" ht="17.6" spans="1:63">
      <c r="A24" s="15"/>
      <c r="B24"/>
      <c r="C24"/>
      <c r="D24" s="30"/>
      <c r="E24" s="30"/>
      <c r="F24" s="30"/>
      <c r="G24" s="30"/>
      <c r="H24" s="30"/>
      <c r="I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0"/>
      <c r="BE24" s="60"/>
      <c r="BF24" s="60"/>
      <c r="BG24" s="60"/>
      <c r="BH24" s="60"/>
      <c r="BI24" s="60"/>
      <c r="BJ24" s="60"/>
      <c r="BK24" s="60"/>
    </row>
    <row r="25" s="1" customFormat="1" ht="17.6" spans="1:63">
      <c r="A25" s="15"/>
      <c r="B25"/>
      <c r="C25"/>
      <c r="D25" s="49"/>
      <c r="E25" s="30"/>
      <c r="F25" s="30"/>
      <c r="G25" s="30"/>
      <c r="H25" s="30"/>
      <c r="I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0"/>
      <c r="BE25" s="60"/>
      <c r="BF25" s="60"/>
      <c r="BG25" s="60"/>
      <c r="BH25" s="60"/>
      <c r="BI25" s="60"/>
      <c r="BJ25" s="60"/>
      <c r="BK25" s="60"/>
    </row>
    <row r="26" s="1" customFormat="1" spans="1:63">
      <c r="A26" s="15"/>
      <c r="B26" s="30"/>
      <c r="C26" s="30"/>
      <c r="D26" s="30"/>
      <c r="E26" s="30"/>
      <c r="F26" s="30"/>
      <c r="G26" s="30"/>
      <c r="H26" s="30"/>
      <c r="I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0"/>
      <c r="BE26" s="60"/>
      <c r="BF26" s="60"/>
      <c r="BG26" s="60"/>
      <c r="BH26" s="60"/>
      <c r="BI26" s="60"/>
      <c r="BJ26" s="60"/>
      <c r="BK26" s="60"/>
    </row>
    <row r="27" s="1" customFormat="1" spans="1:63">
      <c r="A27" s="1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</row>
    <row r="28" s="1" customFormat="1" spans="1:63">
      <c r="A28" s="15"/>
      <c r="B28" s="30"/>
      <c r="C28" s="30"/>
      <c r="D28" s="15"/>
      <c r="E28" s="15"/>
      <c r="F28" s="15"/>
      <c r="G28" s="15"/>
      <c r="H28" s="15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</row>
    <row r="29" s="1" customFormat="1" spans="1:63">
      <c r="A29" s="15"/>
      <c r="B29" s="30"/>
      <c r="C29" s="30"/>
      <c r="D29" s="15"/>
      <c r="E29" s="15"/>
      <c r="F29" s="15"/>
      <c r="G29" s="15"/>
      <c r="H29" s="1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</row>
    <row r="30" s="1" customFormat="1" spans="1:63">
      <c r="A30" s="15"/>
      <c r="B30" s="15"/>
      <c r="C30" s="15"/>
      <c r="D30" s="15"/>
      <c r="E30" s="15"/>
      <c r="F30" s="15"/>
      <c r="G30" s="15"/>
      <c r="H30" s="1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</row>
    <row r="31" s="1" customFormat="1" spans="1:63">
      <c r="A31" s="15"/>
      <c r="D31" s="15"/>
      <c r="E31" s="15"/>
      <c r="F31" s="15"/>
      <c r="G31" s="15"/>
      <c r="H31" s="1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</row>
    <row r="32" s="1" customFormat="1" spans="1:64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30"/>
    </row>
    <row r="33" s="1" customFormat="1" spans="1:64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30"/>
    </row>
    <row r="34" s="1" customFormat="1" spans="1:64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30"/>
    </row>
    <row r="35" s="1" customFormat="1" spans="1:64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30"/>
    </row>
    <row r="36" s="1" customFormat="1" spans="1:64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</row>
  </sheetData>
  <mergeCells count="68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A3:A6"/>
    <mergeCell ref="A7:A13"/>
    <mergeCell ref="BK3:BK6"/>
  </mergeCells>
  <pageMargins left="0.75" right="0.75" top="1" bottom="1" header="0.511805555555556" footer="0.511805555555556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BN36"/>
  <sheetViews>
    <sheetView workbookViewId="0">
      <selection activeCell="BL23" sqref="AY4:BL23"/>
    </sheetView>
  </sheetViews>
  <sheetFormatPr defaultColWidth="9.11607142857143" defaultRowHeight="16.8"/>
  <cols>
    <col min="1" max="1" width="5.57142857142857" style="1" customWidth="1"/>
    <col min="2" max="2" width="14" style="1" customWidth="1"/>
    <col min="3" max="3" width="5.57142857142857" style="1" customWidth="1"/>
    <col min="4" max="4" width="8.07142857142857" style="1" customWidth="1"/>
    <col min="5" max="5" width="11" style="1" customWidth="1"/>
    <col min="6" max="6" width="7.14285714285714" style="1" customWidth="1"/>
    <col min="7" max="7" width="9.57142857142857" style="1" customWidth="1"/>
    <col min="8" max="8" width="6.21428571428571" style="1" customWidth="1"/>
    <col min="9" max="9" width="5.57142857142857" style="1" customWidth="1"/>
    <col min="10" max="10" width="6.21428571428571" style="1" customWidth="1"/>
    <col min="11" max="11" width="14" style="1" customWidth="1"/>
    <col min="12" max="12" width="7.14285714285714" style="1" customWidth="1"/>
    <col min="13" max="13" width="11.7142857142857" style="1" customWidth="1"/>
    <col min="14" max="14" width="8.07142857142857" style="1" customWidth="1"/>
    <col min="15" max="15" width="14" style="1" customWidth="1"/>
    <col min="16" max="16" width="6.21428571428571" style="1" customWidth="1"/>
    <col min="17" max="17" width="5.57142857142857" style="1" customWidth="1"/>
    <col min="18" max="18" width="7.14285714285714" style="1" customWidth="1"/>
    <col min="19" max="19" width="5.57142857142857" style="1" customWidth="1"/>
    <col min="20" max="20" width="7.14285714285714" style="1" customWidth="1"/>
    <col min="21" max="21" width="9.57142857142857" style="1" customWidth="1"/>
    <col min="22" max="22" width="7.14285714285714" style="1" customWidth="1"/>
    <col min="23" max="23" width="5.57142857142857" style="1" customWidth="1"/>
    <col min="24" max="24" width="7.14285714285714" style="1" customWidth="1"/>
    <col min="25" max="25" width="5.57142857142857" style="1" customWidth="1"/>
    <col min="26" max="26" width="7.14285714285714" style="1" customWidth="1"/>
    <col min="27" max="27" width="7.57142857142857" style="1" customWidth="1"/>
    <col min="28" max="28" width="7.14285714285714" style="1" customWidth="1"/>
    <col min="29" max="29" width="7.57142857142857" style="1" customWidth="1"/>
    <col min="30" max="30" width="7.14285714285714" style="1" customWidth="1"/>
    <col min="31" max="31" width="7.57142857142857" style="1" customWidth="1"/>
    <col min="32" max="32" width="7.78571428571429" style="1" customWidth="1"/>
    <col min="33" max="33" width="7.57142857142857" style="1" customWidth="1"/>
    <col min="34" max="34" width="6.21428571428571" style="1" customWidth="1"/>
    <col min="35" max="35" width="9.57142857142857" style="1" customWidth="1"/>
    <col min="36" max="36" width="6.85714285714286" style="1" customWidth="1"/>
    <col min="37" max="37" width="7.57142857142857" style="1" customWidth="1"/>
    <col min="38" max="38" width="6.21428571428571" style="1" customWidth="1"/>
    <col min="39" max="39" width="5.57142857142857" style="1" customWidth="1"/>
    <col min="40" max="40" width="6.21428571428571" style="1" customWidth="1"/>
    <col min="41" max="41" width="5.57142857142857" style="1" customWidth="1"/>
    <col min="42" max="42" width="6.21428571428571" style="1" customWidth="1"/>
    <col min="43" max="43" width="4.91071428571429" style="1" customWidth="1"/>
    <col min="44" max="44" width="5.50892857142857" style="1" customWidth="1"/>
    <col min="45" max="45" width="5.57142857142857" style="1" customWidth="1"/>
    <col min="46" max="46" width="6.21428571428571" style="1" customWidth="1"/>
    <col min="47" max="47" width="3.57142857142857" style="1" customWidth="1"/>
    <col min="48" max="48" width="7.14285714285714" style="1" customWidth="1"/>
    <col min="49" max="49" width="9.57142857142857" style="1" customWidth="1"/>
    <col min="50" max="50" width="7.14285714285714" style="1" customWidth="1"/>
    <col min="51" max="51" width="5.57142857142857" style="1" customWidth="1"/>
    <col min="52" max="52" width="6.21428571428571" style="1" customWidth="1"/>
    <col min="53" max="53" width="5.57142857142857" style="1" customWidth="1"/>
    <col min="54" max="54" width="6.21428571428571" style="1" customWidth="1"/>
    <col min="55" max="55" width="15.4285714285714" style="1" customWidth="1"/>
    <col min="56" max="56" width="5.28571428571429" style="1" customWidth="1"/>
    <col min="57" max="57" width="9.57142857142857" style="1" customWidth="1"/>
    <col min="58" max="58" width="7.78571428571429" style="1" customWidth="1"/>
    <col min="59" max="59" width="7.57142857142857" style="1" customWidth="1"/>
    <col min="60" max="60" width="6.21428571428571" style="1" customWidth="1"/>
    <col min="61" max="61" width="14" style="1" customWidth="1"/>
    <col min="62" max="62" width="7.14285714285714" style="1" customWidth="1"/>
    <col min="63" max="63" width="5.57142857142857" style="1" customWidth="1"/>
    <col min="64" max="64" width="6.21428571428571" style="1" customWidth="1"/>
    <col min="65" max="65" width="7.57142857142857" style="1" customWidth="1"/>
    <col min="66" max="66" width="14" style="1" customWidth="1"/>
    <col min="67" max="14413" width="8.24107142857143" style="1"/>
    <col min="14414" max="16384" width="9.11607142857143" style="1"/>
  </cols>
  <sheetData>
    <row r="1" s="1" customFormat="1" spans="3:58">
      <c r="C1" s="31"/>
      <c r="D1" s="31"/>
      <c r="E1" s="31"/>
      <c r="F1" s="31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  <c r="R1" s="50"/>
      <c r="S1" s="28"/>
      <c r="T1" s="28"/>
      <c r="U1" s="28"/>
      <c r="V1" s="28"/>
      <c r="W1" s="28"/>
      <c r="X1" s="28"/>
      <c r="Y1" s="28"/>
      <c r="Z1" s="28"/>
      <c r="AK1" s="16"/>
      <c r="AL1" s="16"/>
      <c r="BA1" s="58"/>
      <c r="BB1" s="58"/>
      <c r="BE1" s="61"/>
      <c r="BF1" s="61"/>
    </row>
    <row r="2" s="1" customFormat="1" spans="1:66">
      <c r="A2" s="32"/>
      <c r="B2" s="33" t="s">
        <v>1</v>
      </c>
      <c r="C2" s="34">
        <v>44531</v>
      </c>
      <c r="D2" s="3"/>
      <c r="E2" s="34">
        <v>44532</v>
      </c>
      <c r="F2" s="3"/>
      <c r="G2" s="34">
        <v>44533</v>
      </c>
      <c r="H2" s="3"/>
      <c r="I2" s="34">
        <v>44534</v>
      </c>
      <c r="J2" s="3"/>
      <c r="K2" s="34">
        <v>44535</v>
      </c>
      <c r="L2" s="3"/>
      <c r="M2" s="34">
        <v>44536</v>
      </c>
      <c r="N2" s="3"/>
      <c r="O2" s="34">
        <v>44537</v>
      </c>
      <c r="P2" s="3"/>
      <c r="Q2" s="34">
        <v>44538</v>
      </c>
      <c r="R2" s="3"/>
      <c r="S2" s="34">
        <v>44539</v>
      </c>
      <c r="T2" s="3"/>
      <c r="U2" s="34">
        <v>44540</v>
      </c>
      <c r="V2" s="3"/>
      <c r="W2" s="34">
        <v>44541</v>
      </c>
      <c r="X2" s="3"/>
      <c r="Y2" s="34">
        <v>44542</v>
      </c>
      <c r="Z2" s="3"/>
      <c r="AA2" s="34">
        <v>44543</v>
      </c>
      <c r="AB2" s="3"/>
      <c r="AC2" s="34">
        <v>44544</v>
      </c>
      <c r="AD2" s="3"/>
      <c r="AE2" s="34">
        <v>44545</v>
      </c>
      <c r="AF2" s="3"/>
      <c r="AG2" s="34">
        <v>44546</v>
      </c>
      <c r="AH2" s="3"/>
      <c r="AI2" s="34">
        <v>44547</v>
      </c>
      <c r="AJ2" s="3"/>
      <c r="AK2" s="34">
        <v>44548</v>
      </c>
      <c r="AL2" s="3"/>
      <c r="AM2" s="34">
        <v>44549</v>
      </c>
      <c r="AN2" s="3"/>
      <c r="AO2" s="34">
        <v>44550</v>
      </c>
      <c r="AP2" s="3"/>
      <c r="AQ2" s="34">
        <v>44551</v>
      </c>
      <c r="AR2" s="3"/>
      <c r="AS2" s="34">
        <v>44552</v>
      </c>
      <c r="AT2" s="3"/>
      <c r="AU2" s="34">
        <v>44553</v>
      </c>
      <c r="AV2" s="3"/>
      <c r="AW2" s="34">
        <v>44554</v>
      </c>
      <c r="AX2" s="3"/>
      <c r="AY2" s="34">
        <v>44555</v>
      </c>
      <c r="AZ2" s="3"/>
      <c r="BA2" s="34">
        <v>44556</v>
      </c>
      <c r="BB2" s="3"/>
      <c r="BC2" s="34">
        <v>44557</v>
      </c>
      <c r="BD2" s="3"/>
      <c r="BE2" s="34">
        <v>44558</v>
      </c>
      <c r="BF2" s="3"/>
      <c r="BG2" s="34">
        <v>44559</v>
      </c>
      <c r="BH2" s="3"/>
      <c r="BI2" s="34">
        <v>44560</v>
      </c>
      <c r="BJ2" s="3"/>
      <c r="BK2" s="34">
        <v>44561</v>
      </c>
      <c r="BL2" s="3"/>
      <c r="BM2" s="34" t="s">
        <v>2</v>
      </c>
      <c r="BN2" s="2" t="s">
        <v>1</v>
      </c>
    </row>
    <row r="3" s="1" customFormat="1" spans="1:66">
      <c r="A3" s="35" t="s">
        <v>3</v>
      </c>
      <c r="B3" s="36" t="s">
        <v>4</v>
      </c>
      <c r="C3" s="35"/>
      <c r="D3" s="37"/>
      <c r="E3" s="51"/>
      <c r="F3" s="52"/>
      <c r="G3" s="15"/>
      <c r="H3" s="37"/>
      <c r="I3" s="35"/>
      <c r="J3" s="37"/>
      <c r="K3" s="35"/>
      <c r="L3" s="37">
        <v>30</v>
      </c>
      <c r="M3" s="35"/>
      <c r="N3" s="37"/>
      <c r="O3" s="35"/>
      <c r="P3" s="37"/>
      <c r="Q3" s="35"/>
      <c r="R3" s="37"/>
      <c r="S3" s="35"/>
      <c r="T3" s="37"/>
      <c r="U3" s="15"/>
      <c r="V3" s="37"/>
      <c r="W3" s="35"/>
      <c r="X3" s="37"/>
      <c r="Y3" s="35"/>
      <c r="Z3" s="15"/>
      <c r="AA3" s="35"/>
      <c r="AB3" s="15"/>
      <c r="AC3" s="35"/>
      <c r="AD3" s="15"/>
      <c r="AE3" s="35"/>
      <c r="AF3" s="15"/>
      <c r="AG3" s="35"/>
      <c r="AH3" s="15"/>
      <c r="AI3" s="35"/>
      <c r="AJ3" s="15"/>
      <c r="AK3" s="35"/>
      <c r="AL3" s="15"/>
      <c r="AM3" s="35"/>
      <c r="AN3" s="15"/>
      <c r="AO3" s="35"/>
      <c r="AP3" s="15"/>
      <c r="AQ3" s="35"/>
      <c r="AR3" s="15"/>
      <c r="AS3" s="35"/>
      <c r="AT3" s="15"/>
      <c r="AU3" s="35"/>
      <c r="AV3" s="37"/>
      <c r="AW3" s="15"/>
      <c r="AX3" s="37"/>
      <c r="AY3" s="35"/>
      <c r="AZ3" s="37"/>
      <c r="BA3" s="35"/>
      <c r="BB3" s="37"/>
      <c r="BC3" s="35"/>
      <c r="BD3" s="37"/>
      <c r="BE3" s="35"/>
      <c r="BF3" s="62"/>
      <c r="BG3" s="35"/>
      <c r="BH3" s="37"/>
      <c r="BI3" s="35"/>
      <c r="BJ3" s="37"/>
      <c r="BK3" s="35"/>
      <c r="BL3" s="37"/>
      <c r="BM3" s="7">
        <f>SUM(C3:BL6)</f>
        <v>782.35</v>
      </c>
      <c r="BN3" s="29" t="s">
        <v>4</v>
      </c>
    </row>
    <row r="4" s="1" customFormat="1" spans="1:66">
      <c r="A4" s="35"/>
      <c r="B4" s="36" t="s">
        <v>5</v>
      </c>
      <c r="C4" s="35"/>
      <c r="D4" s="37">
        <v>17.5</v>
      </c>
      <c r="E4" s="15"/>
      <c r="F4" s="37">
        <v>10</v>
      </c>
      <c r="G4" s="15"/>
      <c r="H4" s="37">
        <v>11</v>
      </c>
      <c r="I4" s="35"/>
      <c r="J4" s="37"/>
      <c r="K4" s="35"/>
      <c r="L4" s="37"/>
      <c r="M4" s="35"/>
      <c r="N4" s="37"/>
      <c r="O4" s="35"/>
      <c r="P4" s="37"/>
      <c r="Q4" s="35"/>
      <c r="R4" s="37"/>
      <c r="S4" s="35"/>
      <c r="T4" s="37"/>
      <c r="U4" s="15"/>
      <c r="V4" s="37"/>
      <c r="W4" s="35"/>
      <c r="X4" s="37"/>
      <c r="Y4" s="35"/>
      <c r="Z4" s="15"/>
      <c r="AA4" s="35"/>
      <c r="AB4" s="15"/>
      <c r="AC4" s="35"/>
      <c r="AD4" s="15">
        <v>22</v>
      </c>
      <c r="AE4" s="35"/>
      <c r="AF4" s="15"/>
      <c r="AG4" s="35"/>
      <c r="AH4" s="15"/>
      <c r="AI4" s="35"/>
      <c r="AJ4" s="15"/>
      <c r="AK4" s="35"/>
      <c r="AL4" s="15"/>
      <c r="AM4" s="35"/>
      <c r="AN4" s="15"/>
      <c r="AO4" s="35"/>
      <c r="AP4" s="15"/>
      <c r="AQ4" s="35"/>
      <c r="AR4" s="15"/>
      <c r="AS4" s="35"/>
      <c r="AT4" s="15"/>
      <c r="AU4" s="35"/>
      <c r="AV4" s="37"/>
      <c r="AW4" s="15"/>
      <c r="AX4" s="37"/>
      <c r="AY4" s="35"/>
      <c r="AZ4" s="37"/>
      <c r="BA4" s="35"/>
      <c r="BB4" s="37"/>
      <c r="BC4" s="35"/>
      <c r="BD4" s="37"/>
      <c r="BE4" s="35"/>
      <c r="BF4" s="62"/>
      <c r="BG4" s="35"/>
      <c r="BH4" s="37">
        <v>11</v>
      </c>
      <c r="BI4" s="35"/>
      <c r="BJ4" s="37"/>
      <c r="BK4" s="35"/>
      <c r="BL4" s="37">
        <v>15</v>
      </c>
      <c r="BM4" s="7"/>
      <c r="BN4" s="29" t="s">
        <v>5</v>
      </c>
    </row>
    <row r="5" s="1" customFormat="1" spans="1:66">
      <c r="A5" s="35"/>
      <c r="B5" s="36" t="s">
        <v>6</v>
      </c>
      <c r="C5" s="35"/>
      <c r="D5" s="15">
        <v>55.75</v>
      </c>
      <c r="E5" s="35"/>
      <c r="F5" s="15"/>
      <c r="G5" s="35"/>
      <c r="H5" s="15"/>
      <c r="I5" s="35"/>
      <c r="J5" s="37"/>
      <c r="K5" s="35"/>
      <c r="L5" s="37"/>
      <c r="M5" s="35"/>
      <c r="N5" s="37"/>
      <c r="O5" s="35"/>
      <c r="P5" s="37"/>
      <c r="Q5" s="35"/>
      <c r="R5" s="37"/>
      <c r="S5" s="35"/>
      <c r="T5" s="37"/>
      <c r="U5" s="15"/>
      <c r="V5" s="37"/>
      <c r="W5" s="35"/>
      <c r="X5" s="37"/>
      <c r="Y5" s="35"/>
      <c r="Z5" s="15"/>
      <c r="AA5" s="35"/>
      <c r="AB5" s="15"/>
      <c r="AC5" s="35"/>
      <c r="AD5" s="15">
        <v>50</v>
      </c>
      <c r="AE5" s="35"/>
      <c r="AF5" s="15">
        <v>28.8</v>
      </c>
      <c r="AG5" s="35"/>
      <c r="AH5" s="15"/>
      <c r="AI5" s="35"/>
      <c r="AJ5" s="15"/>
      <c r="AK5" s="35"/>
      <c r="AL5" s="15"/>
      <c r="AM5" s="35"/>
      <c r="AN5" s="15"/>
      <c r="AO5" s="35"/>
      <c r="AP5" s="15"/>
      <c r="AQ5" s="35"/>
      <c r="AR5" s="15"/>
      <c r="AS5" s="38" t="s">
        <v>9</v>
      </c>
      <c r="AT5" s="40">
        <v>72</v>
      </c>
      <c r="AU5" s="35"/>
      <c r="AV5" s="37"/>
      <c r="AW5" s="15"/>
      <c r="AX5" s="37"/>
      <c r="AY5" s="35"/>
      <c r="AZ5" s="37"/>
      <c r="BA5" s="35" t="s">
        <v>297</v>
      </c>
      <c r="BB5" s="37">
        <v>18.8</v>
      </c>
      <c r="BC5" s="35"/>
      <c r="BD5" s="37">
        <v>9.5</v>
      </c>
      <c r="BE5" s="35"/>
      <c r="BF5" s="62"/>
      <c r="BG5" s="35"/>
      <c r="BH5" s="37"/>
      <c r="BI5" s="35"/>
      <c r="BJ5" s="37"/>
      <c r="BK5" s="35"/>
      <c r="BL5" s="37">
        <v>62</v>
      </c>
      <c r="BM5" s="7"/>
      <c r="BN5" s="29" t="s">
        <v>6</v>
      </c>
    </row>
    <row r="6" s="1" customFormat="1" spans="1:66">
      <c r="A6" s="38"/>
      <c r="B6" s="39" t="s">
        <v>8</v>
      </c>
      <c r="C6" s="38"/>
      <c r="D6" s="40"/>
      <c r="E6" s="38" t="s">
        <v>298</v>
      </c>
      <c r="F6" s="40">
        <f>47.5+46.5</f>
        <v>94</v>
      </c>
      <c r="G6" s="38"/>
      <c r="H6" s="40">
        <v>6</v>
      </c>
      <c r="I6" s="38" t="s">
        <v>9</v>
      </c>
      <c r="J6" s="53">
        <v>93</v>
      </c>
      <c r="K6" s="38"/>
      <c r="L6" s="53"/>
      <c r="M6" s="38"/>
      <c r="N6" s="53"/>
      <c r="O6" s="38"/>
      <c r="P6" s="53"/>
      <c r="Q6" s="38"/>
      <c r="R6" s="53">
        <v>8</v>
      </c>
      <c r="S6" s="38"/>
      <c r="T6" s="53"/>
      <c r="U6" s="40"/>
      <c r="V6" s="53"/>
      <c r="W6" s="38"/>
      <c r="X6" s="53"/>
      <c r="Y6" s="38"/>
      <c r="Z6" s="40"/>
      <c r="AA6" s="38"/>
      <c r="AB6" s="40"/>
      <c r="AC6" s="38"/>
      <c r="AD6" s="40"/>
      <c r="AE6" s="38"/>
      <c r="AF6" s="40"/>
      <c r="AG6" s="38"/>
      <c r="AH6" s="40">
        <v>34</v>
      </c>
      <c r="AI6" s="38"/>
      <c r="AJ6" s="40"/>
      <c r="AK6" s="38"/>
      <c r="AL6" s="40">
        <v>16</v>
      </c>
      <c r="AM6" s="38"/>
      <c r="AN6" s="40"/>
      <c r="AO6" s="38"/>
      <c r="AP6" s="40">
        <v>5.5</v>
      </c>
      <c r="AQ6" s="38"/>
      <c r="AR6" s="40"/>
      <c r="AS6" s="38" t="s">
        <v>299</v>
      </c>
      <c r="AT6" s="40">
        <v>34.5</v>
      </c>
      <c r="AU6" s="38"/>
      <c r="AV6" s="53"/>
      <c r="AW6" s="40"/>
      <c r="AX6" s="53"/>
      <c r="AY6" s="38" t="s">
        <v>9</v>
      </c>
      <c r="AZ6" s="53">
        <v>32</v>
      </c>
      <c r="BA6" s="38" t="s">
        <v>9</v>
      </c>
      <c r="BB6" s="53">
        <v>35</v>
      </c>
      <c r="BC6" s="38"/>
      <c r="BD6" s="53"/>
      <c r="BE6" s="38"/>
      <c r="BF6" s="63"/>
      <c r="BG6" s="38"/>
      <c r="BH6" s="53">
        <v>11</v>
      </c>
      <c r="BI6" s="38"/>
      <c r="BJ6" s="53"/>
      <c r="BK6" s="38"/>
      <c r="BL6" s="53"/>
      <c r="BM6" s="7"/>
      <c r="BN6" s="5" t="s">
        <v>8</v>
      </c>
    </row>
    <row r="7" s="1" customFormat="1" spans="1:66">
      <c r="A7" s="41" t="s">
        <v>11</v>
      </c>
      <c r="B7" s="42" t="s">
        <v>12</v>
      </c>
      <c r="C7" s="35"/>
      <c r="D7" s="37">
        <v>11</v>
      </c>
      <c r="E7" s="51"/>
      <c r="F7" s="51">
        <v>5</v>
      </c>
      <c r="G7" s="41"/>
      <c r="H7" s="52">
        <v>5.5</v>
      </c>
      <c r="I7" s="51"/>
      <c r="J7" s="52">
        <v>30</v>
      </c>
      <c r="K7" s="51"/>
      <c r="L7" s="52">
        <v>43</v>
      </c>
      <c r="M7" s="51"/>
      <c r="N7" s="37"/>
      <c r="O7" s="51"/>
      <c r="P7" s="52"/>
      <c r="Q7" s="51"/>
      <c r="R7" s="52"/>
      <c r="S7" s="51"/>
      <c r="T7" s="37"/>
      <c r="U7" s="51"/>
      <c r="V7" s="52"/>
      <c r="W7" s="41"/>
      <c r="X7" s="52"/>
      <c r="Y7" s="41"/>
      <c r="Z7" s="51"/>
      <c r="AA7" s="41"/>
      <c r="AB7" s="51"/>
      <c r="AC7" s="41"/>
      <c r="AD7" s="51">
        <v>6</v>
      </c>
      <c r="AE7" s="41"/>
      <c r="AF7" s="51">
        <v>20.74</v>
      </c>
      <c r="AG7" s="41"/>
      <c r="AH7" s="51">
        <v>3.5</v>
      </c>
      <c r="AI7" s="41"/>
      <c r="AJ7" s="51">
        <v>32</v>
      </c>
      <c r="AK7" s="41"/>
      <c r="AL7" s="51">
        <v>4</v>
      </c>
      <c r="AM7" s="41"/>
      <c r="AN7" s="51"/>
      <c r="AO7" s="41"/>
      <c r="AP7" s="51"/>
      <c r="AQ7" s="41"/>
      <c r="AR7" s="51"/>
      <c r="AS7" s="41"/>
      <c r="AT7" s="51">
        <v>8</v>
      </c>
      <c r="AU7" s="41"/>
      <c r="AV7" s="52">
        <v>80</v>
      </c>
      <c r="AW7" s="51"/>
      <c r="AX7" s="52"/>
      <c r="AY7" s="41"/>
      <c r="AZ7" s="52"/>
      <c r="BA7" s="41"/>
      <c r="BB7" s="52"/>
      <c r="BC7" s="41"/>
      <c r="BD7" s="52">
        <v>4</v>
      </c>
      <c r="BE7" s="41"/>
      <c r="BF7" s="52"/>
      <c r="BG7" s="41"/>
      <c r="BH7" s="52">
        <v>6</v>
      </c>
      <c r="BI7" s="41"/>
      <c r="BJ7" s="52"/>
      <c r="BK7" s="41"/>
      <c r="BL7" s="52">
        <v>36</v>
      </c>
      <c r="BM7" s="7">
        <f>SUM(C7:BL7)</f>
        <v>294.74</v>
      </c>
      <c r="BN7" s="5" t="s">
        <v>12</v>
      </c>
    </row>
    <row r="8" s="1" customFormat="1" spans="1:66">
      <c r="A8" s="35"/>
      <c r="B8" s="42" t="s">
        <v>13</v>
      </c>
      <c r="C8" s="35"/>
      <c r="D8" s="37"/>
      <c r="E8" s="15"/>
      <c r="F8" s="15">
        <v>50</v>
      </c>
      <c r="G8" s="35"/>
      <c r="H8" s="37"/>
      <c r="I8" s="15"/>
      <c r="J8" s="37"/>
      <c r="K8" s="15"/>
      <c r="L8" s="37"/>
      <c r="M8" s="15"/>
      <c r="N8" s="37"/>
      <c r="O8" s="15"/>
      <c r="P8" s="37"/>
      <c r="Q8" s="15"/>
      <c r="R8" s="37">
        <v>115</v>
      </c>
      <c r="S8" s="54"/>
      <c r="T8" s="37"/>
      <c r="U8" s="15"/>
      <c r="V8" s="37"/>
      <c r="W8" s="35"/>
      <c r="X8" s="37"/>
      <c r="Y8" s="35"/>
      <c r="Z8" s="15"/>
      <c r="AA8" s="35"/>
      <c r="AB8" s="15"/>
      <c r="AC8" s="35"/>
      <c r="AD8" s="15"/>
      <c r="AE8" s="35"/>
      <c r="AF8" s="15"/>
      <c r="AG8" s="35"/>
      <c r="AH8" s="15"/>
      <c r="AI8" s="35"/>
      <c r="AJ8" s="15"/>
      <c r="AK8" s="35"/>
      <c r="AL8" s="15"/>
      <c r="AM8" s="35"/>
      <c r="AN8" s="15"/>
      <c r="AO8" s="35"/>
      <c r="AP8" s="15"/>
      <c r="AQ8" s="35"/>
      <c r="AR8" s="15"/>
      <c r="AS8" s="35"/>
      <c r="AT8" s="15"/>
      <c r="AU8" s="35"/>
      <c r="AV8" s="37"/>
      <c r="AW8" s="15"/>
      <c r="AX8" s="37"/>
      <c r="AY8" s="35"/>
      <c r="AZ8" s="37"/>
      <c r="BA8" s="35"/>
      <c r="BB8" s="37"/>
      <c r="BC8" s="35"/>
      <c r="BD8" s="37"/>
      <c r="BE8" s="35" t="s">
        <v>300</v>
      </c>
      <c r="BF8" s="37">
        <v>-500</v>
      </c>
      <c r="BG8" s="35"/>
      <c r="BH8" s="37"/>
      <c r="BI8" s="35"/>
      <c r="BJ8" s="37"/>
      <c r="BK8" s="35"/>
      <c r="BL8" s="37"/>
      <c r="BM8" s="7">
        <f>SUM(C8:BL8)</f>
        <v>-335</v>
      </c>
      <c r="BN8" s="5" t="s">
        <v>13</v>
      </c>
    </row>
    <row r="9" s="1" customFormat="1" spans="1:66">
      <c r="A9" s="35"/>
      <c r="B9" s="43" t="s">
        <v>56</v>
      </c>
      <c r="C9" s="35"/>
      <c r="D9" s="37"/>
      <c r="E9" s="15"/>
      <c r="F9" s="15">
        <v>600</v>
      </c>
      <c r="G9" s="35"/>
      <c r="H9" s="37"/>
      <c r="I9" s="15"/>
      <c r="J9" s="37"/>
      <c r="K9" s="15"/>
      <c r="L9" s="37">
        <v>150</v>
      </c>
      <c r="M9" s="15"/>
      <c r="N9" s="37"/>
      <c r="O9" s="15"/>
      <c r="P9" s="37"/>
      <c r="Q9" s="15"/>
      <c r="R9" s="37"/>
      <c r="S9" s="54"/>
      <c r="T9" s="37"/>
      <c r="U9" s="15"/>
      <c r="V9" s="37"/>
      <c r="W9" s="35"/>
      <c r="X9" s="37"/>
      <c r="Y9" s="35"/>
      <c r="Z9" s="15"/>
      <c r="AA9" s="35"/>
      <c r="AB9" s="15"/>
      <c r="AC9" s="35"/>
      <c r="AD9" s="15"/>
      <c r="AE9" s="35"/>
      <c r="AF9" s="15">
        <v>-100</v>
      </c>
      <c r="AG9" s="35"/>
      <c r="AH9" s="15"/>
      <c r="AI9" s="35" t="s">
        <v>89</v>
      </c>
      <c r="AJ9" s="15">
        <f>-150+55</f>
        <v>-95</v>
      </c>
      <c r="AK9" s="35"/>
      <c r="AL9" s="15"/>
      <c r="AM9" s="35"/>
      <c r="AN9" s="15"/>
      <c r="AO9" s="35"/>
      <c r="AP9" s="15"/>
      <c r="AQ9" s="35"/>
      <c r="AR9" s="15"/>
      <c r="AS9" s="35"/>
      <c r="AT9" s="15"/>
      <c r="AU9" s="35"/>
      <c r="AV9" s="37"/>
      <c r="AW9" s="15"/>
      <c r="AX9" s="37">
        <v>200</v>
      </c>
      <c r="AY9" s="35"/>
      <c r="AZ9" s="37"/>
      <c r="BA9" s="35" t="s">
        <v>301</v>
      </c>
      <c r="BB9" s="37">
        <v>99</v>
      </c>
      <c r="BC9" s="35"/>
      <c r="BD9" s="37"/>
      <c r="BE9" s="35"/>
      <c r="BF9" s="37"/>
      <c r="BG9" s="35"/>
      <c r="BH9" s="37"/>
      <c r="BI9" s="35"/>
      <c r="BJ9" s="37">
        <v>100</v>
      </c>
      <c r="BK9" s="35"/>
      <c r="BL9" s="37"/>
      <c r="BM9" s="7">
        <f>SUM(C9:BL9)</f>
        <v>954</v>
      </c>
      <c r="BN9" s="5" t="s">
        <v>56</v>
      </c>
    </row>
    <row r="10" s="1" customFormat="1" spans="1:66">
      <c r="A10" s="35"/>
      <c r="B10" s="44" t="s">
        <v>18</v>
      </c>
      <c r="C10" s="35"/>
      <c r="D10" s="37"/>
      <c r="E10" s="15"/>
      <c r="F10" s="15"/>
      <c r="G10" s="35"/>
      <c r="H10" s="37"/>
      <c r="I10" s="15"/>
      <c r="J10" s="37"/>
      <c r="K10" s="15"/>
      <c r="L10" s="37"/>
      <c r="M10" s="15"/>
      <c r="N10" s="37"/>
      <c r="O10" s="15"/>
      <c r="P10" s="37"/>
      <c r="Q10" s="15"/>
      <c r="R10" s="37"/>
      <c r="S10" s="35"/>
      <c r="T10" s="37"/>
      <c r="U10" s="15"/>
      <c r="V10" s="37"/>
      <c r="W10" s="35"/>
      <c r="X10" s="37"/>
      <c r="Y10" s="35"/>
      <c r="Z10" s="15"/>
      <c r="AA10" s="35"/>
      <c r="AB10" s="15"/>
      <c r="AC10" s="35"/>
      <c r="AD10" s="15"/>
      <c r="AE10" s="35"/>
      <c r="AF10" s="15"/>
      <c r="AG10" s="35"/>
      <c r="AH10" s="15"/>
      <c r="AI10" s="35"/>
      <c r="AJ10" s="15"/>
      <c r="AK10" s="35"/>
      <c r="AL10" s="15"/>
      <c r="AM10" s="35"/>
      <c r="AN10" s="15"/>
      <c r="AO10" s="35"/>
      <c r="AP10" s="15"/>
      <c r="AQ10" s="35"/>
      <c r="AR10" s="15"/>
      <c r="AS10" s="35"/>
      <c r="AT10" s="15"/>
      <c r="AU10" s="35"/>
      <c r="AV10" s="37"/>
      <c r="AW10" s="15"/>
      <c r="AX10" s="37"/>
      <c r="AY10" s="35"/>
      <c r="AZ10" s="37"/>
      <c r="BA10" s="35"/>
      <c r="BB10" s="37"/>
      <c r="BC10" s="35"/>
      <c r="BD10" s="37"/>
      <c r="BE10" s="35"/>
      <c r="BF10" s="37"/>
      <c r="BG10" s="35"/>
      <c r="BH10" s="37"/>
      <c r="BI10" s="35"/>
      <c r="BJ10" s="37"/>
      <c r="BK10" s="35" t="s">
        <v>57</v>
      </c>
      <c r="BL10" s="37">
        <v>20</v>
      </c>
      <c r="BM10" s="7">
        <f t="shared" ref="BM10:BM23" si="0">SUM(C10:BL10)</f>
        <v>20</v>
      </c>
      <c r="BN10" s="5" t="s">
        <v>19</v>
      </c>
    </row>
    <row r="11" s="1" customFormat="1" spans="1:66">
      <c r="A11" s="35"/>
      <c r="B11" s="45" t="s">
        <v>20</v>
      </c>
      <c r="C11" s="35"/>
      <c r="D11" s="37"/>
      <c r="E11" s="15"/>
      <c r="F11" s="15"/>
      <c r="G11" s="35"/>
      <c r="H11" s="37"/>
      <c r="I11" s="15"/>
      <c r="J11" s="15"/>
      <c r="K11" s="35"/>
      <c r="L11" s="37"/>
      <c r="M11" s="35"/>
      <c r="N11" s="37"/>
      <c r="O11" s="35"/>
      <c r="P11" s="37"/>
      <c r="Q11" s="35"/>
      <c r="R11" s="37"/>
      <c r="S11" s="35"/>
      <c r="T11" s="37"/>
      <c r="U11" s="15"/>
      <c r="V11" s="37"/>
      <c r="W11" s="35"/>
      <c r="X11" s="37"/>
      <c r="Y11" s="35"/>
      <c r="Z11" s="15"/>
      <c r="AA11" s="35"/>
      <c r="AB11" s="15"/>
      <c r="AC11" s="35"/>
      <c r="AD11" s="15"/>
      <c r="AE11" s="35"/>
      <c r="AF11" s="15"/>
      <c r="AG11" s="35"/>
      <c r="AH11" s="15"/>
      <c r="AI11" s="35"/>
      <c r="AJ11" s="15"/>
      <c r="AK11" s="35"/>
      <c r="AL11" s="15"/>
      <c r="AM11" s="35"/>
      <c r="AN11" s="15"/>
      <c r="AO11" s="35"/>
      <c r="AP11" s="15"/>
      <c r="AQ11" s="35"/>
      <c r="AR11" s="15"/>
      <c r="AS11" s="35"/>
      <c r="AT11" s="15"/>
      <c r="AU11" s="35"/>
      <c r="AV11" s="37"/>
      <c r="AW11" s="15"/>
      <c r="AX11" s="37"/>
      <c r="AY11" s="35"/>
      <c r="AZ11" s="37"/>
      <c r="BA11" s="35" t="s">
        <v>302</v>
      </c>
      <c r="BB11" s="37">
        <v>32</v>
      </c>
      <c r="BC11" s="35"/>
      <c r="BD11" s="37"/>
      <c r="BE11" s="35"/>
      <c r="BF11" s="37"/>
      <c r="BG11" s="35"/>
      <c r="BH11" s="37"/>
      <c r="BI11" s="35"/>
      <c r="BJ11" s="37"/>
      <c r="BK11" s="35"/>
      <c r="BL11" s="37"/>
      <c r="BM11" s="7">
        <f t="shared" si="0"/>
        <v>32</v>
      </c>
      <c r="BN11" s="5" t="s">
        <v>20</v>
      </c>
    </row>
    <row r="12" s="1" customFormat="1" spans="1:66">
      <c r="A12" s="35"/>
      <c r="B12" s="45" t="s">
        <v>22</v>
      </c>
      <c r="C12" s="35"/>
      <c r="D12" s="15"/>
      <c r="E12" s="35"/>
      <c r="F12" s="37"/>
      <c r="G12" s="35"/>
      <c r="H12" s="37"/>
      <c r="I12" s="35"/>
      <c r="J12" s="37"/>
      <c r="K12" s="35"/>
      <c r="L12" s="37"/>
      <c r="M12" s="35"/>
      <c r="N12" s="37"/>
      <c r="O12" s="35"/>
      <c r="P12" s="37"/>
      <c r="Q12" s="35"/>
      <c r="R12" s="37"/>
      <c r="S12" s="35"/>
      <c r="T12" s="37"/>
      <c r="U12" s="15"/>
      <c r="V12" s="37"/>
      <c r="W12" s="35"/>
      <c r="X12" s="37"/>
      <c r="Y12" s="35"/>
      <c r="Z12" s="15"/>
      <c r="AA12" s="35"/>
      <c r="AB12" s="15"/>
      <c r="AC12" s="35"/>
      <c r="AD12" s="15"/>
      <c r="AE12" s="35"/>
      <c r="AF12" s="15"/>
      <c r="AG12" s="35"/>
      <c r="AH12" s="15"/>
      <c r="AI12" s="35"/>
      <c r="AJ12" s="15"/>
      <c r="AK12" s="35"/>
      <c r="AL12" s="15"/>
      <c r="AM12" s="35"/>
      <c r="AN12" s="15"/>
      <c r="AO12" s="35"/>
      <c r="AP12" s="15"/>
      <c r="AQ12" s="35"/>
      <c r="AR12" s="15"/>
      <c r="AS12" s="35"/>
      <c r="AT12" s="15"/>
      <c r="AU12" s="35"/>
      <c r="AV12" s="37"/>
      <c r="AW12" s="15"/>
      <c r="AX12" s="37"/>
      <c r="AY12" s="35"/>
      <c r="AZ12" s="37"/>
      <c r="BA12" s="35"/>
      <c r="BB12" s="37"/>
      <c r="BC12" s="35"/>
      <c r="BD12" s="37"/>
      <c r="BE12" s="35"/>
      <c r="BF12" s="37"/>
      <c r="BG12" s="35"/>
      <c r="BH12" s="37"/>
      <c r="BI12" s="35"/>
      <c r="BJ12" s="37"/>
      <c r="BK12" s="35"/>
      <c r="BL12" s="37"/>
      <c r="BM12" s="7">
        <f t="shared" si="0"/>
        <v>0</v>
      </c>
      <c r="BN12" s="5" t="s">
        <v>22</v>
      </c>
    </row>
    <row r="13" s="1" customFormat="1" spans="1:66">
      <c r="A13" s="35"/>
      <c r="B13" s="45" t="s">
        <v>25</v>
      </c>
      <c r="C13" s="35"/>
      <c r="D13" s="15"/>
      <c r="E13" s="35"/>
      <c r="F13" s="37"/>
      <c r="G13" s="35"/>
      <c r="H13" s="37"/>
      <c r="I13" s="35"/>
      <c r="J13" s="37"/>
      <c r="K13" s="35"/>
      <c r="L13" s="37"/>
      <c r="M13" s="35"/>
      <c r="N13" s="37"/>
      <c r="O13" s="35"/>
      <c r="P13" s="37"/>
      <c r="Q13" s="35"/>
      <c r="R13" s="37"/>
      <c r="S13" s="35"/>
      <c r="T13" s="37"/>
      <c r="U13" s="15"/>
      <c r="V13" s="37"/>
      <c r="W13" s="35"/>
      <c r="X13" s="37"/>
      <c r="Y13" s="35"/>
      <c r="Z13" s="15"/>
      <c r="AA13" s="35"/>
      <c r="AB13" s="15"/>
      <c r="AC13" s="35"/>
      <c r="AD13" s="15"/>
      <c r="AE13" s="35"/>
      <c r="AF13" s="15"/>
      <c r="AG13" s="35"/>
      <c r="AH13" s="15"/>
      <c r="AI13" s="35"/>
      <c r="AJ13" s="15"/>
      <c r="AK13" s="35"/>
      <c r="AL13" s="15"/>
      <c r="AM13" s="35"/>
      <c r="AN13" s="15"/>
      <c r="AO13" s="35"/>
      <c r="AP13" s="15"/>
      <c r="AQ13" s="35"/>
      <c r="AR13" s="15"/>
      <c r="AS13" s="35"/>
      <c r="AT13" s="15"/>
      <c r="AU13" s="35"/>
      <c r="AV13" s="37"/>
      <c r="AW13" s="15"/>
      <c r="AX13" s="37"/>
      <c r="AY13" s="35"/>
      <c r="AZ13" s="37"/>
      <c r="BA13" s="35"/>
      <c r="BB13" s="37"/>
      <c r="BC13" s="35"/>
      <c r="BD13" s="37"/>
      <c r="BE13" s="35"/>
      <c r="BF13" s="37"/>
      <c r="BG13" s="35"/>
      <c r="BH13" s="37"/>
      <c r="BI13" s="35"/>
      <c r="BJ13" s="37"/>
      <c r="BK13" s="35"/>
      <c r="BL13" s="37"/>
      <c r="BM13" s="7">
        <f t="shared" si="0"/>
        <v>0</v>
      </c>
      <c r="BN13" s="5" t="s">
        <v>25</v>
      </c>
    </row>
    <row r="14" s="1" customFormat="1" spans="1:66">
      <c r="A14" s="10" t="s">
        <v>26</v>
      </c>
      <c r="B14" s="46" t="s">
        <v>27</v>
      </c>
      <c r="C14" s="5"/>
      <c r="D14" s="10"/>
      <c r="E14" s="5"/>
      <c r="F14" s="10"/>
      <c r="G14" s="5"/>
      <c r="H14" s="10"/>
      <c r="I14" s="5"/>
      <c r="J14" s="10"/>
      <c r="K14" s="5"/>
      <c r="L14" s="10"/>
      <c r="M14" s="5"/>
      <c r="N14" s="10"/>
      <c r="O14" s="5"/>
      <c r="P14" s="10"/>
      <c r="Q14" s="5"/>
      <c r="R14" s="10"/>
      <c r="S14" s="5"/>
      <c r="T14" s="10"/>
      <c r="U14" s="5"/>
      <c r="V14" s="10"/>
      <c r="W14" s="5"/>
      <c r="X14" s="10"/>
      <c r="Y14" s="5"/>
      <c r="Z14" s="10"/>
      <c r="AA14" s="5"/>
      <c r="AB14" s="10"/>
      <c r="AC14" s="5" t="s">
        <v>68</v>
      </c>
      <c r="AD14" s="10">
        <v>89</v>
      </c>
      <c r="AE14" s="5"/>
      <c r="AF14" s="10"/>
      <c r="AG14" s="5"/>
      <c r="AH14" s="10">
        <v>30</v>
      </c>
      <c r="AI14" s="5"/>
      <c r="AJ14" s="10"/>
      <c r="AK14" s="5"/>
      <c r="AL14" s="10"/>
      <c r="AM14" s="5"/>
      <c r="AN14" s="10"/>
      <c r="AO14" s="5" t="s">
        <v>303</v>
      </c>
      <c r="AP14" s="10">
        <v>18.9</v>
      </c>
      <c r="AQ14" s="5"/>
      <c r="AR14" s="10"/>
      <c r="AS14" s="5"/>
      <c r="AT14" s="10"/>
      <c r="AU14" s="5"/>
      <c r="AV14" s="10"/>
      <c r="AW14" s="5" t="s">
        <v>304</v>
      </c>
      <c r="AX14" s="10">
        <v>366</v>
      </c>
      <c r="AY14" s="5"/>
      <c r="AZ14" s="10"/>
      <c r="BA14" s="5"/>
      <c r="BB14" s="10"/>
      <c r="BC14" s="5"/>
      <c r="BD14" s="10">
        <v>8</v>
      </c>
      <c r="BE14" s="5"/>
      <c r="BF14" s="10"/>
      <c r="BG14" s="5"/>
      <c r="BH14" s="10"/>
      <c r="BI14" s="5" t="s">
        <v>305</v>
      </c>
      <c r="BJ14" s="10">
        <v>110</v>
      </c>
      <c r="BK14" s="10"/>
      <c r="BL14" s="10"/>
      <c r="BM14" s="7">
        <f t="shared" si="0"/>
        <v>621.9</v>
      </c>
      <c r="BN14" s="5" t="s">
        <v>27</v>
      </c>
    </row>
    <row r="15" s="1" customFormat="1" spans="1:66">
      <c r="A15" s="10" t="s">
        <v>29</v>
      </c>
      <c r="B15" s="46" t="s">
        <v>30</v>
      </c>
      <c r="C15" s="5"/>
      <c r="D15" s="10"/>
      <c r="E15" s="5"/>
      <c r="F15" s="10"/>
      <c r="G15" s="5"/>
      <c r="H15" s="10"/>
      <c r="I15" s="5"/>
      <c r="J15" s="10"/>
      <c r="K15" s="5"/>
      <c r="L15" s="10"/>
      <c r="M15" s="5"/>
      <c r="N15" s="10"/>
      <c r="O15" s="5"/>
      <c r="P15" s="10"/>
      <c r="Q15" s="5"/>
      <c r="R15" s="10"/>
      <c r="S15" s="5"/>
      <c r="T15" s="10"/>
      <c r="U15" s="5"/>
      <c r="V15" s="10"/>
      <c r="W15" s="5"/>
      <c r="X15" s="10"/>
      <c r="Y15" s="5"/>
      <c r="Z15" s="10"/>
      <c r="AA15" s="5"/>
      <c r="AB15" s="10"/>
      <c r="AC15" s="5"/>
      <c r="AD15" s="10"/>
      <c r="AE15" s="5"/>
      <c r="AF15" s="10"/>
      <c r="AG15" s="5"/>
      <c r="AH15" s="10"/>
      <c r="AI15" s="5"/>
      <c r="AJ15" s="10"/>
      <c r="AK15" s="5"/>
      <c r="AL15" s="10"/>
      <c r="AM15" s="5"/>
      <c r="AN15" s="10"/>
      <c r="AO15" s="5"/>
      <c r="AP15" s="10"/>
      <c r="AQ15" s="5"/>
      <c r="AR15" s="10"/>
      <c r="AS15" s="5"/>
      <c r="AT15" s="10"/>
      <c r="AU15" s="5"/>
      <c r="AV15" s="10"/>
      <c r="AW15" s="5"/>
      <c r="AX15" s="10"/>
      <c r="AY15" s="5"/>
      <c r="AZ15" s="10"/>
      <c r="BA15" s="5"/>
      <c r="BB15" s="10"/>
      <c r="BC15" s="5"/>
      <c r="BD15" s="10"/>
      <c r="BE15" s="5"/>
      <c r="BF15" s="10"/>
      <c r="BG15" s="5"/>
      <c r="BH15" s="10"/>
      <c r="BI15" s="10"/>
      <c r="BJ15" s="10"/>
      <c r="BK15" s="10"/>
      <c r="BL15" s="10"/>
      <c r="BM15" s="7">
        <f t="shared" si="0"/>
        <v>0</v>
      </c>
      <c r="BN15" s="5" t="s">
        <v>31</v>
      </c>
    </row>
    <row r="16" s="1" customFormat="1" spans="1:66">
      <c r="A16" s="10" t="s">
        <v>32</v>
      </c>
      <c r="B16" s="46" t="s">
        <v>33</v>
      </c>
      <c r="C16" s="5"/>
      <c r="D16" s="10"/>
      <c r="E16" s="5"/>
      <c r="F16" s="10"/>
      <c r="G16" s="5"/>
      <c r="H16" s="10"/>
      <c r="I16" s="5"/>
      <c r="J16" s="10"/>
      <c r="K16" s="5"/>
      <c r="L16" s="10"/>
      <c r="M16" s="5"/>
      <c r="N16" s="10"/>
      <c r="O16" s="5"/>
      <c r="P16" s="10"/>
      <c r="Q16" s="5"/>
      <c r="R16" s="10"/>
      <c r="S16" s="5"/>
      <c r="T16" s="10"/>
      <c r="U16" s="5"/>
      <c r="V16" s="10"/>
      <c r="W16" s="5"/>
      <c r="X16" s="10"/>
      <c r="Y16" s="5"/>
      <c r="Z16" s="10"/>
      <c r="AA16" s="5"/>
      <c r="AB16" s="10"/>
      <c r="AC16" s="5"/>
      <c r="AD16" s="10"/>
      <c r="AE16" s="5"/>
      <c r="AF16" s="10"/>
      <c r="AG16" s="5"/>
      <c r="AH16" s="10"/>
      <c r="AI16" s="5"/>
      <c r="AJ16" s="10"/>
      <c r="AK16" s="5"/>
      <c r="AL16" s="10"/>
      <c r="AM16" s="5"/>
      <c r="AN16" s="10"/>
      <c r="AO16" s="5"/>
      <c r="AP16" s="10"/>
      <c r="AQ16" s="5"/>
      <c r="AR16" s="10"/>
      <c r="AS16" s="5"/>
      <c r="AT16" s="10"/>
      <c r="AU16" s="5"/>
      <c r="AV16" s="10"/>
      <c r="AW16" s="5"/>
      <c r="AX16" s="10"/>
      <c r="AY16" s="5"/>
      <c r="AZ16" s="10"/>
      <c r="BA16" s="5"/>
      <c r="BB16" s="10"/>
      <c r="BC16" s="5"/>
      <c r="BD16" s="10"/>
      <c r="BE16" s="5"/>
      <c r="BF16" s="10"/>
      <c r="BG16" s="5"/>
      <c r="BH16" s="10"/>
      <c r="BI16" s="10"/>
      <c r="BJ16" s="10"/>
      <c r="BK16" s="10"/>
      <c r="BL16" s="10"/>
      <c r="BM16" s="7">
        <f t="shared" si="0"/>
        <v>0</v>
      </c>
      <c r="BN16" s="5" t="s">
        <v>34</v>
      </c>
    </row>
    <row r="17" s="1" customFormat="1" spans="1:66">
      <c r="A17" s="10" t="s">
        <v>35</v>
      </c>
      <c r="B17" s="46" t="s">
        <v>36</v>
      </c>
      <c r="C17" s="5"/>
      <c r="D17" s="10"/>
      <c r="E17" s="5"/>
      <c r="F17" s="10"/>
      <c r="G17" s="5"/>
      <c r="H17" s="10"/>
      <c r="I17" s="5"/>
      <c r="J17" s="10"/>
      <c r="K17" s="5"/>
      <c r="L17" s="10"/>
      <c r="M17" s="5"/>
      <c r="N17" s="10"/>
      <c r="O17" s="5"/>
      <c r="P17" s="10"/>
      <c r="Q17" s="5"/>
      <c r="R17" s="10"/>
      <c r="S17" s="5"/>
      <c r="T17" s="10"/>
      <c r="U17" s="5"/>
      <c r="V17" s="10"/>
      <c r="W17" s="5"/>
      <c r="X17" s="10"/>
      <c r="Y17" s="5"/>
      <c r="Z17" s="10"/>
      <c r="AA17" s="5"/>
      <c r="AB17" s="10"/>
      <c r="AC17" s="5"/>
      <c r="AD17" s="10"/>
      <c r="AE17" s="5"/>
      <c r="AF17" s="10"/>
      <c r="AG17" s="5"/>
      <c r="AH17" s="10"/>
      <c r="AI17" s="5"/>
      <c r="AJ17" s="10"/>
      <c r="AK17" s="5"/>
      <c r="AL17" s="10"/>
      <c r="AM17" s="5"/>
      <c r="AN17" s="10"/>
      <c r="AO17" s="5"/>
      <c r="AP17" s="10"/>
      <c r="AQ17" s="5"/>
      <c r="AR17" s="10"/>
      <c r="AS17" s="5"/>
      <c r="AT17" s="10"/>
      <c r="AU17" s="5"/>
      <c r="AV17" s="10"/>
      <c r="AW17" s="5"/>
      <c r="AX17" s="10"/>
      <c r="AY17" s="5"/>
      <c r="AZ17" s="10"/>
      <c r="BA17" s="5"/>
      <c r="BB17" s="10"/>
      <c r="BC17" s="5"/>
      <c r="BD17" s="10"/>
      <c r="BE17" s="5"/>
      <c r="BF17" s="10"/>
      <c r="BG17" s="5"/>
      <c r="BH17" s="10"/>
      <c r="BI17" s="5"/>
      <c r="BJ17" s="10"/>
      <c r="BK17" s="5"/>
      <c r="BL17" s="10"/>
      <c r="BM17" s="7">
        <f t="shared" si="0"/>
        <v>0</v>
      </c>
      <c r="BN17" s="5" t="s">
        <v>36</v>
      </c>
    </row>
    <row r="18" s="1" customFormat="1" ht="17" spans="1:66">
      <c r="A18" s="11" t="s">
        <v>37</v>
      </c>
      <c r="B18" s="10" t="s">
        <v>38</v>
      </c>
      <c r="C18" s="5"/>
      <c r="D18" s="10"/>
      <c r="E18" s="5"/>
      <c r="F18" s="10"/>
      <c r="G18" s="5"/>
      <c r="H18" s="10"/>
      <c r="I18" s="5"/>
      <c r="J18" s="10">
        <v>90</v>
      </c>
      <c r="K18" s="5"/>
      <c r="L18" s="10">
        <v>200</v>
      </c>
      <c r="M18" s="5"/>
      <c r="N18" s="10"/>
      <c r="O18" s="5"/>
      <c r="P18" s="10">
        <v>30</v>
      </c>
      <c r="Q18" s="5"/>
      <c r="R18" s="10"/>
      <c r="S18" s="5"/>
      <c r="T18" s="10"/>
      <c r="U18" s="5"/>
      <c r="V18" s="10"/>
      <c r="W18" s="5"/>
      <c r="X18" s="10"/>
      <c r="Y18" s="5"/>
      <c r="Z18" s="10"/>
      <c r="AA18" s="5"/>
      <c r="AB18" s="10"/>
      <c r="AC18" s="5"/>
      <c r="AD18" s="10">
        <v>182</v>
      </c>
      <c r="AE18" s="5"/>
      <c r="AF18" s="10">
        <v>210</v>
      </c>
      <c r="AG18" s="5"/>
      <c r="AH18" s="10"/>
      <c r="AI18" s="5"/>
      <c r="AJ18" s="10"/>
      <c r="AK18" s="5"/>
      <c r="AL18" s="10"/>
      <c r="AM18" s="5"/>
      <c r="AN18" s="10"/>
      <c r="AO18" s="5"/>
      <c r="AP18" s="10"/>
      <c r="AQ18" s="5"/>
      <c r="AR18" s="10"/>
      <c r="AS18" s="5"/>
      <c r="AT18" s="10"/>
      <c r="AU18" s="5"/>
      <c r="AV18" s="10">
        <v>150</v>
      </c>
      <c r="AW18" s="5"/>
      <c r="AX18" s="10"/>
      <c r="AY18" s="5"/>
      <c r="AZ18" s="10"/>
      <c r="BA18" s="5" t="s">
        <v>306</v>
      </c>
      <c r="BB18" s="10">
        <v>24.8</v>
      </c>
      <c r="BC18" s="5"/>
      <c r="BD18" s="10"/>
      <c r="BE18" s="5" t="s">
        <v>118</v>
      </c>
      <c r="BF18" s="10">
        <v>440</v>
      </c>
      <c r="BG18" s="5"/>
      <c r="BH18" s="10"/>
      <c r="BI18" s="5"/>
      <c r="BJ18" s="10"/>
      <c r="BK18" s="5"/>
      <c r="BL18" s="10"/>
      <c r="BM18" s="7">
        <f t="shared" si="0"/>
        <v>1326.8</v>
      </c>
      <c r="BN18" s="5" t="s">
        <v>38</v>
      </c>
    </row>
    <row r="19" s="1" customFormat="1" spans="1:66">
      <c r="A19" s="10"/>
      <c r="B19" s="12" t="s">
        <v>40</v>
      </c>
      <c r="C19" s="10">
        <f>SUM(C3:D18)</f>
        <v>84.25</v>
      </c>
      <c r="D19" s="8"/>
      <c r="E19" s="10">
        <f>SUM(E3:F18)</f>
        <v>759</v>
      </c>
      <c r="F19" s="8"/>
      <c r="G19" s="10">
        <f>SUM(G3:H18)</f>
        <v>22.5</v>
      </c>
      <c r="H19" s="8"/>
      <c r="I19" s="10">
        <f>SUM(I3:J18)</f>
        <v>213</v>
      </c>
      <c r="J19" s="8"/>
      <c r="K19" s="10">
        <f>SUM(K3:L18)</f>
        <v>423</v>
      </c>
      <c r="L19" s="8"/>
      <c r="M19" s="10">
        <f>SUM(M3:N18)</f>
        <v>0</v>
      </c>
      <c r="N19" s="8"/>
      <c r="O19" s="10">
        <f>SUM(O3:P18)</f>
        <v>30</v>
      </c>
      <c r="P19" s="8"/>
      <c r="Q19" s="10">
        <f>SUM(Q3:R18)</f>
        <v>123</v>
      </c>
      <c r="R19" s="8"/>
      <c r="S19" s="10">
        <f>SUM(S3:T18)</f>
        <v>0</v>
      </c>
      <c r="T19" s="8"/>
      <c r="U19" s="10">
        <f>SUM(U3:V18)</f>
        <v>0</v>
      </c>
      <c r="V19" s="8"/>
      <c r="W19" s="10">
        <f>SUM(W3:X18)</f>
        <v>0</v>
      </c>
      <c r="X19" s="8"/>
      <c r="Y19" s="10">
        <f>SUM(Y3:Z18)</f>
        <v>0</v>
      </c>
      <c r="Z19" s="8"/>
      <c r="AA19" s="10">
        <f>SUM(AA3:AB18)</f>
        <v>0</v>
      </c>
      <c r="AB19" s="8"/>
      <c r="AC19" s="10">
        <f>SUM(AC3:AD18)</f>
        <v>349</v>
      </c>
      <c r="AD19" s="8"/>
      <c r="AE19" s="10">
        <f>SUM(AE3:AF18)</f>
        <v>159.54</v>
      </c>
      <c r="AF19" s="8"/>
      <c r="AG19" s="10">
        <f>SUM(AG3:AH18)</f>
        <v>67.5</v>
      </c>
      <c r="AH19" s="8"/>
      <c r="AI19" s="10">
        <f>SUM(AI3:AJ18)</f>
        <v>-63</v>
      </c>
      <c r="AJ19" s="8"/>
      <c r="AK19" s="10">
        <f>SUM(AK3:AL18)</f>
        <v>20</v>
      </c>
      <c r="AL19" s="8"/>
      <c r="AM19" s="10">
        <f>SUM(AM3:AN18)</f>
        <v>0</v>
      </c>
      <c r="AN19" s="8"/>
      <c r="AO19" s="10">
        <f>SUM(AO3:AP18)</f>
        <v>24.4</v>
      </c>
      <c r="AP19" s="8"/>
      <c r="AQ19" s="10">
        <f>SUM(AQ3:AR18)</f>
        <v>0</v>
      </c>
      <c r="AR19" s="8"/>
      <c r="AS19" s="10">
        <f>SUM(AS3:AT18)</f>
        <v>114.5</v>
      </c>
      <c r="AT19" s="8"/>
      <c r="AU19" s="10">
        <f>SUM(AU3:AV18)</f>
        <v>230</v>
      </c>
      <c r="AV19" s="8"/>
      <c r="AW19" s="10">
        <f>SUM(AW3:AX18)</f>
        <v>566</v>
      </c>
      <c r="AX19" s="8"/>
      <c r="AY19" s="10">
        <f>SUM(AY3:AZ18)</f>
        <v>32</v>
      </c>
      <c r="AZ19" s="8"/>
      <c r="BA19" s="10">
        <f>SUM(BA3:BB18)</f>
        <v>209.6</v>
      </c>
      <c r="BB19" s="8"/>
      <c r="BC19" s="10">
        <f>SUM(BC3:BD18)</f>
        <v>21.5</v>
      </c>
      <c r="BD19" s="8"/>
      <c r="BE19" s="10">
        <f>SUM(BE3:BF18)</f>
        <v>-60</v>
      </c>
      <c r="BF19" s="8"/>
      <c r="BG19" s="10">
        <f>SUM(BG3:BH18)</f>
        <v>28</v>
      </c>
      <c r="BH19" s="8"/>
      <c r="BI19" s="10">
        <f>SUM(BI3:BJ18)</f>
        <v>210</v>
      </c>
      <c r="BJ19" s="8"/>
      <c r="BK19" s="10">
        <f>SUM(BK3:BL18)</f>
        <v>133</v>
      </c>
      <c r="BL19" s="8"/>
      <c r="BM19" s="13">
        <f t="shared" si="0"/>
        <v>3696.79</v>
      </c>
      <c r="BN19" s="12" t="s">
        <v>40</v>
      </c>
    </row>
    <row r="20" s="30" customFormat="1" spans="1:66">
      <c r="A20" s="5" t="s">
        <v>41</v>
      </c>
      <c r="B20" s="14" t="s">
        <v>42</v>
      </c>
      <c r="C20" s="17"/>
      <c r="D20" s="47"/>
      <c r="E20" s="17"/>
      <c r="F20" s="47"/>
      <c r="G20" s="17"/>
      <c r="H20" s="47"/>
      <c r="I20" s="17"/>
      <c r="J20" s="47"/>
      <c r="K20" s="17"/>
      <c r="L20" s="47"/>
      <c r="M20" s="17"/>
      <c r="N20" s="47"/>
      <c r="O20" s="17"/>
      <c r="P20" s="47"/>
      <c r="Q20" s="17"/>
      <c r="R20" s="47"/>
      <c r="S20" s="17"/>
      <c r="T20" s="47"/>
      <c r="U20" s="17"/>
      <c r="V20" s="47"/>
      <c r="Y20" s="17"/>
      <c r="Z20" s="47"/>
      <c r="AA20" s="17"/>
      <c r="AB20" s="47"/>
      <c r="AI20" s="17"/>
      <c r="AJ20" s="47"/>
      <c r="AK20" s="17"/>
      <c r="AL20" s="47"/>
      <c r="AM20" s="17"/>
      <c r="AN20" s="47"/>
      <c r="AO20" s="17"/>
      <c r="AP20" s="47"/>
      <c r="AQ20" s="17"/>
      <c r="AR20" s="47"/>
      <c r="AS20" s="17"/>
      <c r="AT20" s="47"/>
      <c r="AU20" s="17"/>
      <c r="AV20" s="47"/>
      <c r="AW20" s="17"/>
      <c r="AX20" s="47"/>
      <c r="AY20" s="17"/>
      <c r="AZ20" s="47"/>
      <c r="BA20" s="17"/>
      <c r="BB20" s="47"/>
      <c r="BC20" s="17"/>
      <c r="BD20" s="47"/>
      <c r="BE20" s="17"/>
      <c r="BF20" s="47"/>
      <c r="BG20" s="17"/>
      <c r="BH20" s="47"/>
      <c r="BI20" s="47"/>
      <c r="BJ20" s="47"/>
      <c r="BK20" s="47"/>
      <c r="BL20" s="47"/>
      <c r="BM20" s="7">
        <f t="shared" si="0"/>
        <v>0</v>
      </c>
      <c r="BN20" s="14" t="s">
        <v>42</v>
      </c>
    </row>
    <row r="21" s="1" customFormat="1" spans="1:66">
      <c r="A21" s="15"/>
      <c r="B21" s="14" t="s">
        <v>43</v>
      </c>
      <c r="C21" s="48" t="s">
        <v>278</v>
      </c>
      <c r="D21" s="48">
        <v>1800</v>
      </c>
      <c r="E21" s="48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48"/>
      <c r="T21" s="48"/>
      <c r="U21" s="48"/>
      <c r="V21" s="48"/>
      <c r="W21" s="55"/>
      <c r="X21" s="56"/>
      <c r="Y21" s="48"/>
      <c r="Z21" s="48"/>
      <c r="AA21" s="48"/>
      <c r="AB21" s="48"/>
      <c r="AC21" s="55"/>
      <c r="AD21" s="56"/>
      <c r="AE21" s="55"/>
      <c r="AF21" s="56"/>
      <c r="AG21" s="55"/>
      <c r="AH21" s="56"/>
      <c r="AI21" s="48"/>
      <c r="AJ21" s="48"/>
      <c r="AK21" s="48"/>
      <c r="AL21" s="48"/>
      <c r="AM21" s="48"/>
      <c r="AN21" s="48"/>
      <c r="AO21" s="48"/>
      <c r="AP21" s="48"/>
      <c r="AQ21" s="48"/>
      <c r="AR21" s="48"/>
      <c r="AS21" s="48"/>
      <c r="AT21" s="48"/>
      <c r="AU21" s="48"/>
      <c r="AV21" s="48"/>
      <c r="AW21" s="48"/>
      <c r="AX21" s="48"/>
      <c r="AY21" s="48"/>
      <c r="AZ21" s="48"/>
      <c r="BA21" s="48"/>
      <c r="BB21" s="48"/>
      <c r="BC21" s="48"/>
      <c r="BD21" s="48"/>
      <c r="BE21" s="48"/>
      <c r="BF21" s="48"/>
      <c r="BG21" s="48"/>
      <c r="BH21" s="48"/>
      <c r="BI21" s="48"/>
      <c r="BJ21" s="48"/>
      <c r="BK21" s="48"/>
      <c r="BL21" s="48"/>
      <c r="BM21" s="13">
        <f t="shared" si="0"/>
        <v>1800</v>
      </c>
      <c r="BN21" s="14" t="s">
        <v>43</v>
      </c>
    </row>
    <row r="22" s="1" customFormat="1" spans="1:66">
      <c r="A22" s="15"/>
      <c r="B22" s="16" t="s">
        <v>45</v>
      </c>
      <c r="C22" s="16"/>
      <c r="D22" s="16"/>
      <c r="E22" s="16"/>
      <c r="F22" s="16"/>
      <c r="G22" s="16"/>
      <c r="H22" s="16"/>
      <c r="I22" s="16"/>
      <c r="J22" s="16"/>
      <c r="K22" s="16"/>
      <c r="L22" s="16"/>
      <c r="M22" s="16"/>
      <c r="N22" s="16"/>
      <c r="O22" s="16"/>
      <c r="P22" s="16"/>
      <c r="Q22" s="16"/>
      <c r="R22" s="16"/>
      <c r="S22" s="16"/>
      <c r="T22" s="16"/>
      <c r="U22" s="16"/>
      <c r="V22" s="16"/>
      <c r="W22" s="16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7"/>
      <c r="AP22" s="57"/>
      <c r="AQ22" s="57"/>
      <c r="AR22" s="5"/>
      <c r="AS22" s="5"/>
      <c r="AT22" s="5"/>
      <c r="AU22" s="5"/>
      <c r="AV22" s="5"/>
      <c r="AW22" s="5"/>
      <c r="AX22" s="5"/>
      <c r="AY22" s="48"/>
      <c r="AZ22" s="48"/>
      <c r="BA22" s="5"/>
      <c r="BB22" s="5"/>
      <c r="BC22" s="5"/>
      <c r="BD22" s="59"/>
      <c r="BE22" s="59"/>
      <c r="BF22" s="59"/>
      <c r="BG22" s="59"/>
      <c r="BH22" s="59"/>
      <c r="BI22" s="59"/>
      <c r="BJ22" s="59"/>
      <c r="BK22" s="59"/>
      <c r="BL22" s="59"/>
      <c r="BM22" s="7">
        <f t="shared" si="0"/>
        <v>0</v>
      </c>
      <c r="BN22" s="16" t="s">
        <v>45</v>
      </c>
    </row>
    <row r="23" s="30" customFormat="1" spans="1:66">
      <c r="A23" s="15"/>
      <c r="B23" s="16" t="s">
        <v>46</v>
      </c>
      <c r="C23" s="16"/>
      <c r="D23" s="16"/>
      <c r="E23" s="16"/>
      <c r="F23" s="16"/>
      <c r="G23" s="16" t="s">
        <v>307</v>
      </c>
      <c r="H23" s="16">
        <v>3500</v>
      </c>
      <c r="I23" s="16"/>
      <c r="J23" s="16"/>
      <c r="K23" s="16"/>
      <c r="L23" s="16"/>
      <c r="M23" s="16"/>
      <c r="N23" s="16"/>
      <c r="O23" s="16"/>
      <c r="P23" s="16"/>
      <c r="Q23" s="16"/>
      <c r="R23" s="16"/>
      <c r="S23" s="16"/>
      <c r="T23" s="16"/>
      <c r="U23" s="16"/>
      <c r="V23" s="16"/>
      <c r="W23" s="16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16"/>
      <c r="AP23" s="16"/>
      <c r="AQ23" s="16"/>
      <c r="AR23" s="5"/>
      <c r="AS23" s="5"/>
      <c r="AT23" s="5"/>
      <c r="AU23" s="5"/>
      <c r="AV23" s="5"/>
      <c r="AW23" s="5" t="s">
        <v>307</v>
      </c>
      <c r="AX23" s="5">
        <v>500</v>
      </c>
      <c r="AY23" s="48"/>
      <c r="AZ23" s="48"/>
      <c r="BA23" s="5"/>
      <c r="BB23" s="5"/>
      <c r="BC23" s="5"/>
      <c r="BD23" s="17"/>
      <c r="BE23" s="17"/>
      <c r="BF23" s="17"/>
      <c r="BG23" s="17"/>
      <c r="BH23" s="17"/>
      <c r="BI23" s="17" t="s">
        <v>231</v>
      </c>
      <c r="BJ23" s="17">
        <v>400</v>
      </c>
      <c r="BK23" s="17"/>
      <c r="BL23" s="17"/>
      <c r="BM23" s="7">
        <f t="shared" si="0"/>
        <v>4400</v>
      </c>
      <c r="BN23" s="16" t="s">
        <v>46</v>
      </c>
    </row>
    <row r="24" s="1" customFormat="1" ht="17.6" spans="1:65">
      <c r="A24" s="15"/>
      <c r="B24"/>
      <c r="C24"/>
      <c r="D24" s="30"/>
      <c r="E24" s="30"/>
      <c r="F24" s="30"/>
      <c r="G24" s="30"/>
      <c r="H24" s="30"/>
      <c r="I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15"/>
      <c r="Y24" s="15"/>
      <c r="Z24" s="15"/>
      <c r="AA24" s="15"/>
      <c r="AB24" s="15"/>
      <c r="AC24" s="15"/>
      <c r="AD24" s="15"/>
      <c r="AE24" s="15"/>
      <c r="AF24" s="15"/>
      <c r="AG24" s="15"/>
      <c r="AH24" s="15"/>
      <c r="AI24" s="15"/>
      <c r="AJ24" s="15"/>
      <c r="AK24" s="15"/>
      <c r="AL24" s="15"/>
      <c r="AM24" s="15"/>
      <c r="AN24" s="15"/>
      <c r="AO24" s="15"/>
      <c r="AP24" s="15"/>
      <c r="AQ24" s="15"/>
      <c r="AR24" s="15"/>
      <c r="AS24" s="15"/>
      <c r="AT24" s="15"/>
      <c r="AU24" s="15"/>
      <c r="AV24" s="15"/>
      <c r="AW24" s="15"/>
      <c r="AX24" s="15"/>
      <c r="AY24" s="15"/>
      <c r="AZ24" s="15"/>
      <c r="BA24" s="15"/>
      <c r="BB24" s="15"/>
      <c r="BC24" s="15"/>
      <c r="BD24" s="60"/>
      <c r="BE24" s="60"/>
      <c r="BF24" s="60"/>
      <c r="BG24" s="60"/>
      <c r="BH24" s="60"/>
      <c r="BI24" s="60"/>
      <c r="BJ24" s="60"/>
      <c r="BK24" s="60"/>
      <c r="BL24" s="60"/>
      <c r="BM24" s="60"/>
    </row>
    <row r="25" s="1" customFormat="1" ht="17.6" spans="1:65">
      <c r="A25" s="15"/>
      <c r="B25"/>
      <c r="C25"/>
      <c r="D25" s="49"/>
      <c r="E25" s="30"/>
      <c r="F25" s="30"/>
      <c r="G25" s="30"/>
      <c r="H25" s="30"/>
      <c r="I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15"/>
      <c r="Y25" s="15"/>
      <c r="Z25" s="15"/>
      <c r="AA25" s="15"/>
      <c r="AB25" s="15"/>
      <c r="AC25" s="15"/>
      <c r="AD25" s="15"/>
      <c r="AE25" s="15"/>
      <c r="AF25" s="15"/>
      <c r="AG25" s="15"/>
      <c r="AH25" s="15"/>
      <c r="AI25" s="15"/>
      <c r="AJ25" s="15"/>
      <c r="AK25" s="15"/>
      <c r="AL25" s="15"/>
      <c r="AM25" s="15"/>
      <c r="AN25" s="15"/>
      <c r="AO25" s="15"/>
      <c r="AP25" s="15"/>
      <c r="AQ25" s="15"/>
      <c r="AR25" s="15"/>
      <c r="AS25" s="15"/>
      <c r="AT25" s="15"/>
      <c r="AU25" s="15"/>
      <c r="AV25" s="15"/>
      <c r="AW25" s="15"/>
      <c r="AX25" s="15"/>
      <c r="AY25" s="15"/>
      <c r="AZ25" s="15"/>
      <c r="BA25" s="15"/>
      <c r="BB25" s="15"/>
      <c r="BC25" s="15"/>
      <c r="BD25" s="60"/>
      <c r="BE25" s="60"/>
      <c r="BF25" s="60"/>
      <c r="BG25" s="60"/>
      <c r="BH25" s="60"/>
      <c r="BI25" s="60"/>
      <c r="BJ25" s="60"/>
      <c r="BK25" s="60"/>
      <c r="BL25" s="60"/>
      <c r="BM25" s="60"/>
    </row>
    <row r="26" s="1" customFormat="1" spans="1:65">
      <c r="A26" s="15"/>
      <c r="B26" s="30"/>
      <c r="C26" s="30"/>
      <c r="D26" s="30"/>
      <c r="E26" s="30"/>
      <c r="F26" s="30"/>
      <c r="G26" s="30"/>
      <c r="H26" s="30"/>
      <c r="I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15"/>
      <c r="Y26" s="15"/>
      <c r="Z26" s="15"/>
      <c r="AA26" s="15"/>
      <c r="AB26" s="15"/>
      <c r="AC26" s="15"/>
      <c r="AD26" s="15"/>
      <c r="AE26" s="15"/>
      <c r="AF26" s="15"/>
      <c r="AG26" s="15"/>
      <c r="AH26" s="15"/>
      <c r="AI26" s="15"/>
      <c r="AJ26" s="15"/>
      <c r="AK26" s="15"/>
      <c r="AL26" s="15"/>
      <c r="AM26" s="15"/>
      <c r="AN26" s="15"/>
      <c r="AO26" s="15"/>
      <c r="AP26" s="15"/>
      <c r="AQ26" s="15"/>
      <c r="AR26" s="15"/>
      <c r="AS26" s="15"/>
      <c r="AT26" s="15"/>
      <c r="AU26" s="15"/>
      <c r="AV26" s="15"/>
      <c r="AW26" s="15"/>
      <c r="AX26" s="15"/>
      <c r="AY26" s="15"/>
      <c r="AZ26" s="15"/>
      <c r="BA26" s="15"/>
      <c r="BB26" s="15"/>
      <c r="BC26" s="15"/>
      <c r="BD26" s="60"/>
      <c r="BE26" s="60"/>
      <c r="BF26" s="60"/>
      <c r="BG26" s="60"/>
      <c r="BH26" s="60"/>
      <c r="BI26" s="60"/>
      <c r="BJ26" s="60"/>
      <c r="BK26" s="60"/>
      <c r="BL26" s="60"/>
      <c r="BM26" s="60"/>
    </row>
    <row r="27" s="1" customFormat="1" spans="1:65">
      <c r="A27" s="15"/>
      <c r="B27" s="30"/>
      <c r="C27" s="30"/>
      <c r="D27" s="30"/>
      <c r="E27" s="30"/>
      <c r="F27" s="30"/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30"/>
      <c r="X27" s="15"/>
      <c r="Y27" s="15"/>
      <c r="Z27" s="15"/>
      <c r="AA27" s="15"/>
      <c r="AB27" s="15"/>
      <c r="AC27" s="15"/>
      <c r="AD27" s="15"/>
      <c r="AE27" s="15"/>
      <c r="AF27" s="15"/>
      <c r="AG27" s="15"/>
      <c r="AH27" s="15"/>
      <c r="AI27" s="15"/>
      <c r="AJ27" s="15"/>
      <c r="AK27" s="15"/>
      <c r="AL27" s="15"/>
      <c r="AM27" s="15"/>
      <c r="AN27" s="15"/>
      <c r="AO27" s="15"/>
      <c r="AP27" s="15"/>
      <c r="AQ27" s="15"/>
      <c r="AR27" s="15"/>
      <c r="AS27" s="15"/>
      <c r="AT27" s="15"/>
      <c r="AU27" s="15"/>
      <c r="AV27" s="15"/>
      <c r="AW27" s="15"/>
      <c r="AX27" s="15"/>
      <c r="AY27" s="15"/>
      <c r="AZ27" s="15"/>
      <c r="BA27" s="15"/>
      <c r="BB27" s="15"/>
      <c r="BC27" s="15"/>
      <c r="BD27" s="15"/>
      <c r="BE27" s="15"/>
      <c r="BF27" s="15"/>
      <c r="BG27" s="15"/>
      <c r="BH27" s="15"/>
      <c r="BI27" s="15"/>
      <c r="BJ27" s="15"/>
      <c r="BK27" s="15"/>
      <c r="BL27" s="15"/>
      <c r="BM27" s="15"/>
    </row>
    <row r="28" s="1" customFormat="1" spans="1:65">
      <c r="A28" s="15"/>
      <c r="B28" s="30"/>
      <c r="C28" s="30"/>
      <c r="D28" s="15"/>
      <c r="E28" s="15"/>
      <c r="F28" s="15"/>
      <c r="G28" s="15"/>
      <c r="H28" s="15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15"/>
      <c r="Y28" s="15"/>
      <c r="Z28" s="15"/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5"/>
      <c r="BD28" s="15"/>
      <c r="BE28" s="15"/>
      <c r="BF28" s="15"/>
      <c r="BG28" s="15"/>
      <c r="BH28" s="15"/>
      <c r="BI28" s="15"/>
      <c r="BJ28" s="15"/>
      <c r="BK28" s="15"/>
      <c r="BL28" s="15"/>
      <c r="BM28" s="15"/>
    </row>
    <row r="29" s="1" customFormat="1" spans="1:65">
      <c r="A29" s="15"/>
      <c r="B29" s="30"/>
      <c r="C29" s="30"/>
      <c r="D29" s="15"/>
      <c r="E29" s="15"/>
      <c r="F29" s="15"/>
      <c r="G29" s="15"/>
      <c r="H29" s="15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30"/>
      <c r="X29" s="15"/>
      <c r="Y29" s="15"/>
      <c r="Z29" s="15"/>
      <c r="AA29" s="15"/>
      <c r="AB29" s="15"/>
      <c r="AC29" s="15"/>
      <c r="AD29" s="15"/>
      <c r="AE29" s="15"/>
      <c r="AF29" s="15"/>
      <c r="AG29" s="15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5"/>
      <c r="BB29" s="15"/>
      <c r="BC29" s="15"/>
      <c r="BD29" s="15"/>
      <c r="BE29" s="15"/>
      <c r="BF29" s="15"/>
      <c r="BG29" s="15"/>
      <c r="BH29" s="15"/>
      <c r="BI29" s="15"/>
      <c r="BJ29" s="15"/>
      <c r="BK29" s="15"/>
      <c r="BL29" s="15"/>
      <c r="BM29" s="15"/>
    </row>
    <row r="30" s="1" customFormat="1" spans="1:65">
      <c r="A30" s="15"/>
      <c r="B30" s="15"/>
      <c r="C30" s="15"/>
      <c r="D30" s="15"/>
      <c r="E30" s="15"/>
      <c r="F30" s="15"/>
      <c r="G30" s="15"/>
      <c r="H30" s="15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30"/>
      <c r="X30" s="15"/>
      <c r="Y30" s="15"/>
      <c r="Z30" s="15"/>
      <c r="AA30" s="15"/>
      <c r="AB30" s="15"/>
      <c r="AC30" s="15"/>
      <c r="AD30" s="15"/>
      <c r="AE30" s="15"/>
      <c r="AF30" s="15"/>
      <c r="AG30" s="15"/>
      <c r="AH30" s="15"/>
      <c r="AI30" s="15"/>
      <c r="AJ30" s="15"/>
      <c r="AK30" s="15"/>
      <c r="AL30" s="15"/>
      <c r="AM30" s="15"/>
      <c r="AN30" s="15"/>
      <c r="AO30" s="15"/>
      <c r="AP30" s="15"/>
      <c r="AQ30" s="15"/>
      <c r="AR30" s="15"/>
      <c r="AS30" s="15"/>
      <c r="AT30" s="15"/>
      <c r="AU30" s="15"/>
      <c r="AV30" s="15"/>
      <c r="AW30" s="15"/>
      <c r="AX30" s="15"/>
      <c r="AY30" s="15"/>
      <c r="AZ30" s="15"/>
      <c r="BA30" s="15"/>
      <c r="BB30" s="15"/>
      <c r="BC30" s="15"/>
      <c r="BD30" s="15"/>
      <c r="BE30" s="15"/>
      <c r="BF30" s="15"/>
      <c r="BG30" s="15"/>
      <c r="BH30" s="15"/>
      <c r="BI30" s="15"/>
      <c r="BJ30" s="15"/>
      <c r="BK30" s="15"/>
      <c r="BL30" s="15"/>
      <c r="BM30" s="15"/>
    </row>
    <row r="31" s="1" customFormat="1" spans="1:65">
      <c r="A31" s="15"/>
      <c r="D31" s="15"/>
      <c r="E31" s="15"/>
      <c r="F31" s="15"/>
      <c r="G31" s="15"/>
      <c r="H31" s="15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0"/>
      <c r="W31" s="30"/>
      <c r="X31" s="15"/>
      <c r="Y31" s="15"/>
      <c r="Z31" s="15"/>
      <c r="AA31" s="15"/>
      <c r="AB31" s="15"/>
      <c r="AC31" s="15"/>
      <c r="AD31" s="15"/>
      <c r="AE31" s="15"/>
      <c r="AF31" s="15"/>
      <c r="AG31" s="15"/>
      <c r="AH31" s="15"/>
      <c r="AI31" s="15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5"/>
      <c r="AV31" s="15"/>
      <c r="AW31" s="15"/>
      <c r="AX31" s="15"/>
      <c r="AY31" s="15"/>
      <c r="AZ31" s="15"/>
      <c r="BA31" s="15"/>
      <c r="BB31" s="15"/>
      <c r="BC31" s="15"/>
      <c r="BD31" s="15"/>
      <c r="BE31" s="15"/>
      <c r="BF31" s="15"/>
      <c r="BG31" s="15"/>
      <c r="BH31" s="15"/>
      <c r="BI31" s="15"/>
      <c r="BJ31" s="15"/>
      <c r="BK31" s="15"/>
      <c r="BL31" s="15"/>
      <c r="BM31" s="15"/>
    </row>
    <row r="32" s="1" customFormat="1" spans="1:66">
      <c r="A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15"/>
      <c r="V32" s="15"/>
      <c r="W32" s="15"/>
      <c r="X32" s="15"/>
      <c r="Y32" s="15"/>
      <c r="Z32" s="15"/>
      <c r="AA32" s="15"/>
      <c r="AB32" s="15"/>
      <c r="AC32" s="15"/>
      <c r="AD32" s="15"/>
      <c r="AE32" s="15"/>
      <c r="AF32" s="15"/>
      <c r="AG32" s="15"/>
      <c r="AH32" s="15"/>
      <c r="AI32" s="15"/>
      <c r="AJ32" s="15"/>
      <c r="AK32" s="15"/>
      <c r="AL32" s="15"/>
      <c r="AM32" s="15"/>
      <c r="AN32" s="15"/>
      <c r="AO32" s="15"/>
      <c r="AP32" s="15"/>
      <c r="AQ32" s="15"/>
      <c r="AR32" s="15"/>
      <c r="AS32" s="15"/>
      <c r="AT32" s="15"/>
      <c r="AU32" s="15"/>
      <c r="AV32" s="15"/>
      <c r="AW32" s="15"/>
      <c r="AX32" s="15"/>
      <c r="AY32" s="15"/>
      <c r="AZ32" s="15"/>
      <c r="BA32" s="15"/>
      <c r="BB32" s="15"/>
      <c r="BC32" s="15"/>
      <c r="BD32" s="15"/>
      <c r="BE32" s="15"/>
      <c r="BF32" s="15"/>
      <c r="BG32" s="15"/>
      <c r="BH32" s="15"/>
      <c r="BI32" s="15"/>
      <c r="BJ32" s="15"/>
      <c r="BK32" s="15"/>
      <c r="BL32" s="15"/>
      <c r="BM32" s="15"/>
      <c r="BN32" s="30"/>
    </row>
    <row r="33" s="1" customFormat="1" spans="1:66">
      <c r="A33" s="15"/>
      <c r="I33" s="15"/>
      <c r="J33" s="15"/>
      <c r="K33" s="15"/>
      <c r="L33" s="15"/>
      <c r="M33" s="15"/>
      <c r="N33" s="15"/>
      <c r="O33" s="15"/>
      <c r="P33" s="15"/>
      <c r="Q33" s="15"/>
      <c r="R33" s="15"/>
      <c r="S33" s="15"/>
      <c r="T33" s="15"/>
      <c r="U33" s="15"/>
      <c r="V33" s="15"/>
      <c r="W33" s="15"/>
      <c r="X33" s="15"/>
      <c r="Y33" s="15"/>
      <c r="Z33" s="15"/>
      <c r="AA33" s="15"/>
      <c r="AB33" s="15"/>
      <c r="AC33" s="15"/>
      <c r="AD33" s="15"/>
      <c r="AE33" s="15"/>
      <c r="AF33" s="15"/>
      <c r="AG33" s="15"/>
      <c r="AH33" s="15"/>
      <c r="AI33" s="15"/>
      <c r="AJ33" s="15"/>
      <c r="AK33" s="15"/>
      <c r="AL33" s="15"/>
      <c r="AM33" s="15"/>
      <c r="AN33" s="15"/>
      <c r="AO33" s="15"/>
      <c r="AP33" s="15"/>
      <c r="AQ33" s="15"/>
      <c r="AR33" s="15"/>
      <c r="AS33" s="15"/>
      <c r="AT33" s="15"/>
      <c r="AU33" s="15"/>
      <c r="AV33" s="15"/>
      <c r="AW33" s="15"/>
      <c r="AX33" s="15"/>
      <c r="AY33" s="15"/>
      <c r="AZ33" s="15"/>
      <c r="BA33" s="15"/>
      <c r="BB33" s="15"/>
      <c r="BC33" s="15"/>
      <c r="BD33" s="15"/>
      <c r="BE33" s="15"/>
      <c r="BF33" s="15"/>
      <c r="BG33" s="15"/>
      <c r="BH33" s="15"/>
      <c r="BI33" s="15"/>
      <c r="BJ33" s="15"/>
      <c r="BK33" s="15"/>
      <c r="BL33" s="15"/>
      <c r="BM33" s="15"/>
      <c r="BN33" s="30"/>
    </row>
    <row r="34" s="1" customFormat="1" spans="1:66">
      <c r="A34" s="15"/>
      <c r="I34" s="15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15"/>
      <c r="AO34" s="15"/>
      <c r="AP34" s="15"/>
      <c r="AQ34" s="15"/>
      <c r="AR34" s="15"/>
      <c r="AS34" s="15"/>
      <c r="AT34" s="15"/>
      <c r="AU34" s="15"/>
      <c r="AV34" s="15"/>
      <c r="AW34" s="15"/>
      <c r="AX34" s="15"/>
      <c r="AY34" s="15"/>
      <c r="AZ34" s="15"/>
      <c r="BA34" s="15"/>
      <c r="BB34" s="15"/>
      <c r="BC34" s="15"/>
      <c r="BD34" s="15"/>
      <c r="BE34" s="15"/>
      <c r="BF34" s="15"/>
      <c r="BG34" s="15"/>
      <c r="BH34" s="15"/>
      <c r="BI34" s="15"/>
      <c r="BJ34" s="15"/>
      <c r="BK34" s="15"/>
      <c r="BL34" s="15"/>
      <c r="BM34" s="15"/>
      <c r="BN34" s="30"/>
    </row>
    <row r="35" s="1" customFormat="1" spans="1:66">
      <c r="A35" s="15"/>
      <c r="I35" s="15"/>
      <c r="J35" s="15"/>
      <c r="K35" s="15"/>
      <c r="L35" s="15"/>
      <c r="M35" s="15"/>
      <c r="N35" s="15"/>
      <c r="O35" s="15"/>
      <c r="P35" s="15"/>
      <c r="Q35" s="15"/>
      <c r="R35" s="15"/>
      <c r="S35" s="15"/>
      <c r="T35" s="15"/>
      <c r="U35" s="15"/>
      <c r="V35" s="15"/>
      <c r="W35" s="15"/>
      <c r="X35" s="15"/>
      <c r="Y35" s="15"/>
      <c r="Z35" s="15"/>
      <c r="AA35" s="15"/>
      <c r="AB35" s="15"/>
      <c r="AC35" s="15"/>
      <c r="AD35" s="15"/>
      <c r="AE35" s="15"/>
      <c r="AF35" s="15"/>
      <c r="AG35" s="15"/>
      <c r="AH35" s="15"/>
      <c r="AI35" s="15"/>
      <c r="AJ35" s="15"/>
      <c r="AK35" s="15"/>
      <c r="AL35" s="15"/>
      <c r="AM35" s="15"/>
      <c r="AN35" s="15"/>
      <c r="AO35" s="15"/>
      <c r="AP35" s="15"/>
      <c r="AQ35" s="15"/>
      <c r="AR35" s="15"/>
      <c r="AS35" s="15"/>
      <c r="AT35" s="15"/>
      <c r="AU35" s="15"/>
      <c r="AV35" s="15"/>
      <c r="AW35" s="15"/>
      <c r="AX35" s="15"/>
      <c r="AY35" s="15"/>
      <c r="AZ35" s="15"/>
      <c r="BA35" s="15"/>
      <c r="BB35" s="15"/>
      <c r="BC35" s="15"/>
      <c r="BD35" s="15"/>
      <c r="BE35" s="15"/>
      <c r="BF35" s="15"/>
      <c r="BG35" s="15"/>
      <c r="BH35" s="15"/>
      <c r="BI35" s="15"/>
      <c r="BJ35" s="15"/>
      <c r="BK35" s="15"/>
      <c r="BL35" s="15"/>
      <c r="BM35" s="15"/>
      <c r="BN35" s="30"/>
    </row>
    <row r="36" s="1" customFormat="1" spans="1:66">
      <c r="A36" s="15"/>
      <c r="I36" s="15"/>
      <c r="J36" s="15"/>
      <c r="K36" s="15"/>
      <c r="L36" s="15"/>
      <c r="M36" s="15"/>
      <c r="N36" s="15"/>
      <c r="O36" s="15"/>
      <c r="P36" s="15"/>
      <c r="Q36" s="15"/>
      <c r="R36" s="15"/>
      <c r="S36" s="15"/>
      <c r="T36" s="15"/>
      <c r="U36" s="15"/>
      <c r="V36" s="15"/>
      <c r="W36" s="15"/>
      <c r="X36" s="15"/>
      <c r="Y36" s="15"/>
      <c r="Z36" s="15"/>
      <c r="AA36" s="15"/>
      <c r="AB36" s="15"/>
      <c r="AC36" s="15"/>
      <c r="AD36" s="15"/>
      <c r="AE36" s="15"/>
      <c r="AF36" s="15"/>
      <c r="AG36" s="15"/>
      <c r="AH36" s="15"/>
      <c r="AI36" s="15"/>
      <c r="AJ36" s="15"/>
      <c r="AK36" s="15"/>
      <c r="AL36" s="15"/>
      <c r="AM36" s="15"/>
      <c r="AN36" s="15"/>
      <c r="AO36" s="15"/>
      <c r="AP36" s="15"/>
      <c r="AQ36" s="15"/>
      <c r="AR36" s="15"/>
      <c r="AS36" s="15"/>
      <c r="AT36" s="15"/>
      <c r="AU36" s="15"/>
      <c r="AV36" s="15"/>
      <c r="AW36" s="15"/>
      <c r="AX36" s="15"/>
      <c r="AY36" s="15"/>
      <c r="AZ36" s="15"/>
      <c r="BA36" s="15"/>
      <c r="BB36" s="15"/>
      <c r="BC36" s="15"/>
      <c r="BD36" s="15"/>
      <c r="BE36" s="15"/>
      <c r="BF36" s="15"/>
      <c r="BG36" s="15"/>
      <c r="BH36" s="15"/>
      <c r="BI36" s="15"/>
      <c r="BJ36" s="15"/>
      <c r="BK36" s="15"/>
      <c r="BL36" s="15"/>
      <c r="BM36" s="15"/>
      <c r="BN36" s="15"/>
    </row>
  </sheetData>
  <mergeCells count="70">
    <mergeCell ref="C1:F1"/>
    <mergeCell ref="S1:Z1"/>
    <mergeCell ref="AK1:AL1"/>
    <mergeCell ref="BA1:BB1"/>
    <mergeCell ref="BE1:BF1"/>
    <mergeCell ref="C2:D2"/>
    <mergeCell ref="E2:F2"/>
    <mergeCell ref="G2:H2"/>
    <mergeCell ref="I2:J2"/>
    <mergeCell ref="K2:L2"/>
    <mergeCell ref="M2:N2"/>
    <mergeCell ref="O2:P2"/>
    <mergeCell ref="Q2:R2"/>
    <mergeCell ref="S2:T2"/>
    <mergeCell ref="U2:V2"/>
    <mergeCell ref="W2:X2"/>
    <mergeCell ref="Y2:Z2"/>
    <mergeCell ref="AA2:AB2"/>
    <mergeCell ref="AC2:AD2"/>
    <mergeCell ref="AE2:AF2"/>
    <mergeCell ref="AG2:AH2"/>
    <mergeCell ref="AI2:AJ2"/>
    <mergeCell ref="AK2:AL2"/>
    <mergeCell ref="AM2:AN2"/>
    <mergeCell ref="AO2:AP2"/>
    <mergeCell ref="AQ2:AR2"/>
    <mergeCell ref="AS2:AT2"/>
    <mergeCell ref="AU2:AV2"/>
    <mergeCell ref="AW2:AX2"/>
    <mergeCell ref="AY2:AZ2"/>
    <mergeCell ref="BA2:BB2"/>
    <mergeCell ref="BC2:BD2"/>
    <mergeCell ref="BE2:BF2"/>
    <mergeCell ref="BG2:BH2"/>
    <mergeCell ref="BI2:BJ2"/>
    <mergeCell ref="BK2:BL2"/>
    <mergeCell ref="C19:D19"/>
    <mergeCell ref="E19:F19"/>
    <mergeCell ref="G19:H19"/>
    <mergeCell ref="I19:J19"/>
    <mergeCell ref="K19:L19"/>
    <mergeCell ref="M19:N19"/>
    <mergeCell ref="O19:P19"/>
    <mergeCell ref="Q19:R19"/>
    <mergeCell ref="S19:T19"/>
    <mergeCell ref="U19:V19"/>
    <mergeCell ref="W19:X19"/>
    <mergeCell ref="Y19:Z19"/>
    <mergeCell ref="AA19:AB19"/>
    <mergeCell ref="AC19:AD19"/>
    <mergeCell ref="AE19:AF19"/>
    <mergeCell ref="AG19:AH19"/>
    <mergeCell ref="AI19:AJ19"/>
    <mergeCell ref="AK19:AL19"/>
    <mergeCell ref="AM19:AN19"/>
    <mergeCell ref="AO19:AP19"/>
    <mergeCell ref="AQ19:AR19"/>
    <mergeCell ref="AS19:AT19"/>
    <mergeCell ref="AU19:AV19"/>
    <mergeCell ref="AW19:AX19"/>
    <mergeCell ref="AY19:AZ19"/>
    <mergeCell ref="BA19:BB19"/>
    <mergeCell ref="BC19:BD19"/>
    <mergeCell ref="BE19:BF19"/>
    <mergeCell ref="BG19:BH19"/>
    <mergeCell ref="BI19:BJ19"/>
    <mergeCell ref="BK19:BL19"/>
    <mergeCell ref="A3:A6"/>
    <mergeCell ref="A7:A13"/>
    <mergeCell ref="BM3:BM6"/>
  </mergeCells>
  <pageMargins left="0.75" right="0.75" top="1" bottom="1" header="0.511805555555556" footer="0.511805555555556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R24"/>
  <sheetViews>
    <sheetView zoomScale="90" zoomScaleNormal="90" workbookViewId="0">
      <selection activeCell="L10" sqref="L10"/>
    </sheetView>
  </sheetViews>
  <sheetFormatPr defaultColWidth="9.14285714285714" defaultRowHeight="17.6"/>
  <cols>
    <col min="1" max="1" width="5.57142857142857" customWidth="1"/>
    <col min="2" max="2" width="9.57142857142857" customWidth="1"/>
    <col min="3" max="11" width="10.9285714285714" customWidth="1"/>
    <col min="12" max="14" width="12.0714285714286" customWidth="1"/>
    <col min="15" max="15" width="9" customWidth="1"/>
    <col min="16" max="16" width="8.07142857142857" customWidth="1"/>
    <col min="17" max="17" width="9.57142857142857" customWidth="1"/>
    <col min="18" max="18" width="9.57142857142857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>
      <c r="A2" s="2"/>
      <c r="B2" s="3" t="s">
        <v>1</v>
      </c>
      <c r="C2" s="4">
        <v>44197</v>
      </c>
      <c r="D2" s="4">
        <v>44228</v>
      </c>
      <c r="E2" s="4">
        <v>44256</v>
      </c>
      <c r="F2" s="4">
        <v>44287</v>
      </c>
      <c r="G2" s="4">
        <v>44317</v>
      </c>
      <c r="H2" s="4">
        <v>44348</v>
      </c>
      <c r="I2" s="4">
        <v>44378</v>
      </c>
      <c r="J2" s="4">
        <v>44409</v>
      </c>
      <c r="K2" s="4">
        <v>44440</v>
      </c>
      <c r="L2" s="4">
        <v>44470</v>
      </c>
      <c r="M2" s="4">
        <v>44501</v>
      </c>
      <c r="N2" s="4">
        <v>44531</v>
      </c>
      <c r="O2" s="16" t="s">
        <v>2</v>
      </c>
      <c r="P2" s="16" t="s">
        <v>308</v>
      </c>
      <c r="Q2" s="2" t="s">
        <v>1</v>
      </c>
    </row>
    <row r="3" spans="1:17">
      <c r="A3" s="5" t="s">
        <v>3</v>
      </c>
      <c r="B3" s="6" t="s">
        <v>4</v>
      </c>
      <c r="C3" s="7"/>
      <c r="D3" s="7"/>
      <c r="E3" s="7"/>
      <c r="F3" s="18"/>
      <c r="G3" s="9"/>
      <c r="H3" s="19"/>
      <c r="I3" s="22"/>
      <c r="J3" s="19"/>
      <c r="K3" s="19"/>
      <c r="L3" s="19"/>
      <c r="M3" s="7"/>
      <c r="N3" s="7"/>
      <c r="O3" s="16">
        <f>SUM(C3:N6)</f>
        <v>0</v>
      </c>
      <c r="P3" s="27">
        <f>O3/12</f>
        <v>0</v>
      </c>
      <c r="Q3" s="29" t="s">
        <v>4</v>
      </c>
    </row>
    <row r="4" spans="1:17">
      <c r="A4" s="5"/>
      <c r="B4" s="6" t="s">
        <v>5</v>
      </c>
      <c r="C4" s="7"/>
      <c r="D4" s="7"/>
      <c r="E4" s="7"/>
      <c r="F4" s="18"/>
      <c r="G4" s="9"/>
      <c r="H4" s="19"/>
      <c r="I4" s="22"/>
      <c r="J4" s="19"/>
      <c r="K4" s="19"/>
      <c r="L4" s="19"/>
      <c r="M4" s="7"/>
      <c r="N4" s="7"/>
      <c r="O4" s="16"/>
      <c r="P4" s="27"/>
      <c r="Q4" s="29" t="s">
        <v>5</v>
      </c>
    </row>
    <row r="5" spans="1:17">
      <c r="A5" s="5"/>
      <c r="B5" s="6" t="s">
        <v>6</v>
      </c>
      <c r="C5" s="7"/>
      <c r="D5" s="7"/>
      <c r="E5" s="7"/>
      <c r="F5" s="18"/>
      <c r="G5" s="9"/>
      <c r="H5" s="19"/>
      <c r="I5" s="22"/>
      <c r="J5" s="19"/>
      <c r="K5" s="19"/>
      <c r="L5" s="19"/>
      <c r="M5" s="7"/>
      <c r="N5" s="7"/>
      <c r="O5" s="16"/>
      <c r="P5" s="27"/>
      <c r="Q5" s="29" t="s">
        <v>6</v>
      </c>
    </row>
    <row r="6" spans="1:17">
      <c r="A6" s="5"/>
      <c r="B6" s="8" t="s">
        <v>8</v>
      </c>
      <c r="C6" s="7"/>
      <c r="D6" s="7"/>
      <c r="E6" s="7"/>
      <c r="F6" s="18"/>
      <c r="G6" s="9"/>
      <c r="H6" s="19"/>
      <c r="I6" s="22"/>
      <c r="J6" s="19"/>
      <c r="K6" s="19"/>
      <c r="L6" s="19"/>
      <c r="M6" s="7"/>
      <c r="N6" s="7"/>
      <c r="O6" s="16"/>
      <c r="P6" s="27"/>
      <c r="Q6" s="5" t="s">
        <v>8</v>
      </c>
    </row>
    <row r="7" spans="1:17">
      <c r="A7" s="5" t="s">
        <v>11</v>
      </c>
      <c r="B7" s="8" t="s">
        <v>12</v>
      </c>
      <c r="C7" s="9"/>
      <c r="D7" s="9"/>
      <c r="E7" s="7"/>
      <c r="F7" s="9"/>
      <c r="G7" s="7"/>
      <c r="H7" s="18"/>
      <c r="I7" s="23"/>
      <c r="J7" s="9"/>
      <c r="K7" s="9"/>
      <c r="L7" s="18"/>
      <c r="M7" s="7"/>
      <c r="N7" s="7"/>
      <c r="O7" s="16">
        <f>SUM(C7:N7)</f>
        <v>0</v>
      </c>
      <c r="P7" s="27">
        <f>O7/12</f>
        <v>0</v>
      </c>
      <c r="Q7" s="5" t="s">
        <v>12</v>
      </c>
    </row>
    <row r="8" spans="1:17">
      <c r="A8" s="5"/>
      <c r="B8" s="8" t="s">
        <v>13</v>
      </c>
      <c r="C8" s="7"/>
      <c r="D8" s="7"/>
      <c r="E8" s="7"/>
      <c r="F8" s="7"/>
      <c r="G8" s="7"/>
      <c r="H8" s="18"/>
      <c r="I8" s="23"/>
      <c r="J8" s="7"/>
      <c r="K8" s="7"/>
      <c r="L8" s="18"/>
      <c r="M8" s="7"/>
      <c r="N8" s="7"/>
      <c r="O8" s="16">
        <f>SUM(C8:N8)</f>
        <v>0</v>
      </c>
      <c r="P8" s="27">
        <f>O8/12</f>
        <v>0</v>
      </c>
      <c r="Q8" s="5" t="s">
        <v>13</v>
      </c>
    </row>
    <row r="9" spans="1:17">
      <c r="A9" s="5"/>
      <c r="B9" s="8" t="s">
        <v>56</v>
      </c>
      <c r="C9" s="7"/>
      <c r="D9" s="7"/>
      <c r="E9" s="7"/>
      <c r="F9" s="7"/>
      <c r="G9" s="7"/>
      <c r="H9" s="18"/>
      <c r="I9" s="23"/>
      <c r="J9" s="7"/>
      <c r="K9" s="7"/>
      <c r="L9" s="18"/>
      <c r="M9" s="7"/>
      <c r="N9" s="7"/>
      <c r="O9" s="16">
        <f>SUM(C9:N9)</f>
        <v>0</v>
      </c>
      <c r="P9" s="27">
        <f>O9/12</f>
        <v>0</v>
      </c>
      <c r="Q9" s="5" t="s">
        <v>56</v>
      </c>
    </row>
    <row r="10" spans="1:17">
      <c r="A10" s="5"/>
      <c r="B10" s="8" t="s">
        <v>19</v>
      </c>
      <c r="C10" s="7"/>
      <c r="D10" s="7"/>
      <c r="E10" s="7"/>
      <c r="F10" s="7"/>
      <c r="G10" s="7"/>
      <c r="H10" s="18"/>
      <c r="I10" s="23"/>
      <c r="J10" s="7"/>
      <c r="K10" s="7"/>
      <c r="L10" s="18"/>
      <c r="M10" s="7"/>
      <c r="N10" s="7"/>
      <c r="O10" s="16">
        <f t="shared" ref="O10:O23" si="0">SUM(C10:N10)</f>
        <v>0</v>
      </c>
      <c r="P10" s="27">
        <f t="shared" ref="P10:P21" si="1">O10/12</f>
        <v>0</v>
      </c>
      <c r="Q10" s="5" t="s">
        <v>19</v>
      </c>
    </row>
    <row r="11" spans="1:17">
      <c r="A11" s="5"/>
      <c r="B11" s="8" t="s">
        <v>20</v>
      </c>
      <c r="C11" s="7"/>
      <c r="D11" s="7"/>
      <c r="E11" s="7"/>
      <c r="F11" s="7"/>
      <c r="G11" s="7"/>
      <c r="H11" s="18"/>
      <c r="I11" s="23"/>
      <c r="J11" s="7"/>
      <c r="K11" s="7"/>
      <c r="L11" s="18"/>
      <c r="M11" s="7"/>
      <c r="N11" s="7"/>
      <c r="O11" s="16">
        <f t="shared" si="0"/>
        <v>0</v>
      </c>
      <c r="P11" s="27">
        <f t="shared" si="1"/>
        <v>0</v>
      </c>
      <c r="Q11" s="5" t="s">
        <v>20</v>
      </c>
    </row>
    <row r="12" spans="1:17">
      <c r="A12" s="5"/>
      <c r="B12" s="8" t="s">
        <v>22</v>
      </c>
      <c r="C12" s="9"/>
      <c r="D12" s="7"/>
      <c r="E12" s="7"/>
      <c r="F12" s="9"/>
      <c r="G12" s="9"/>
      <c r="H12" s="19"/>
      <c r="I12" s="24"/>
      <c r="J12" s="9"/>
      <c r="K12" s="9"/>
      <c r="L12" s="18"/>
      <c r="M12" s="7"/>
      <c r="N12" s="7"/>
      <c r="O12" s="16">
        <f t="shared" si="0"/>
        <v>0</v>
      </c>
      <c r="P12" s="27">
        <f t="shared" si="1"/>
        <v>0</v>
      </c>
      <c r="Q12" s="5" t="s">
        <v>22</v>
      </c>
    </row>
    <row r="13" spans="1:17">
      <c r="A13" s="5"/>
      <c r="B13" s="8" t="s">
        <v>25</v>
      </c>
      <c r="C13" s="7"/>
      <c r="D13" s="7"/>
      <c r="E13" s="7"/>
      <c r="F13" s="7"/>
      <c r="G13" s="7"/>
      <c r="H13" s="18"/>
      <c r="I13" s="23"/>
      <c r="J13" s="7"/>
      <c r="K13" s="9"/>
      <c r="L13" s="19"/>
      <c r="M13" s="9"/>
      <c r="N13" s="7"/>
      <c r="O13" s="16">
        <f t="shared" si="0"/>
        <v>0</v>
      </c>
      <c r="P13" s="27">
        <f t="shared" si="1"/>
        <v>0</v>
      </c>
      <c r="Q13" s="5" t="s">
        <v>25</v>
      </c>
    </row>
    <row r="14" spans="1:17">
      <c r="A14" s="5" t="s">
        <v>26</v>
      </c>
      <c r="B14" s="8" t="s">
        <v>27</v>
      </c>
      <c r="C14" s="7"/>
      <c r="D14" s="7"/>
      <c r="E14" s="7"/>
      <c r="F14" s="18"/>
      <c r="G14" s="7"/>
      <c r="H14" s="18"/>
      <c r="I14" s="25"/>
      <c r="J14" s="18"/>
      <c r="K14" s="19"/>
      <c r="L14" s="18"/>
      <c r="M14" s="7"/>
      <c r="N14" s="7"/>
      <c r="O14" s="16">
        <f t="shared" si="0"/>
        <v>0</v>
      </c>
      <c r="P14" s="27">
        <f t="shared" si="1"/>
        <v>0</v>
      </c>
      <c r="Q14" s="5" t="s">
        <v>27</v>
      </c>
    </row>
    <row r="15" spans="1:17">
      <c r="A15" s="10" t="s">
        <v>29</v>
      </c>
      <c r="B15" s="5" t="s">
        <v>31</v>
      </c>
      <c r="C15" s="7"/>
      <c r="D15" s="7"/>
      <c r="E15" s="7"/>
      <c r="F15" s="18"/>
      <c r="G15" s="7"/>
      <c r="H15" s="18"/>
      <c r="I15" s="25"/>
      <c r="J15" s="18"/>
      <c r="K15" s="18"/>
      <c r="L15" s="18"/>
      <c r="M15" s="7"/>
      <c r="N15" s="7"/>
      <c r="O15" s="16">
        <f t="shared" si="0"/>
        <v>0</v>
      </c>
      <c r="P15" s="27">
        <f t="shared" si="1"/>
        <v>0</v>
      </c>
      <c r="Q15" s="5" t="s">
        <v>31</v>
      </c>
    </row>
    <row r="16" spans="1:17">
      <c r="A16" s="10" t="s">
        <v>32</v>
      </c>
      <c r="B16" s="5" t="s">
        <v>34</v>
      </c>
      <c r="C16" s="7"/>
      <c r="D16" s="7"/>
      <c r="E16" s="7"/>
      <c r="F16" s="18"/>
      <c r="G16" s="7"/>
      <c r="H16" s="18"/>
      <c r="I16" s="25"/>
      <c r="J16" s="18"/>
      <c r="K16" s="18"/>
      <c r="L16" s="18"/>
      <c r="M16" s="7"/>
      <c r="N16" s="7"/>
      <c r="O16" s="16">
        <f t="shared" si="0"/>
        <v>0</v>
      </c>
      <c r="P16" s="27">
        <f t="shared" si="1"/>
        <v>0</v>
      </c>
      <c r="Q16" s="5" t="s">
        <v>34</v>
      </c>
    </row>
    <row r="17" spans="1:17">
      <c r="A17" s="10" t="s">
        <v>35</v>
      </c>
      <c r="B17" s="5" t="s">
        <v>36</v>
      </c>
      <c r="C17" s="7"/>
      <c r="D17" s="7"/>
      <c r="E17" s="7"/>
      <c r="F17" s="18"/>
      <c r="G17" s="7"/>
      <c r="H17" s="18"/>
      <c r="I17" s="25"/>
      <c r="J17" s="18"/>
      <c r="K17" s="18"/>
      <c r="L17" s="18"/>
      <c r="M17" s="7"/>
      <c r="N17" s="7"/>
      <c r="O17" s="16">
        <f t="shared" si="0"/>
        <v>0</v>
      </c>
      <c r="P17" s="27">
        <f t="shared" si="1"/>
        <v>0</v>
      </c>
      <c r="Q17" s="5" t="s">
        <v>36</v>
      </c>
    </row>
    <row r="18" spans="1:17">
      <c r="A18" s="11" t="s">
        <v>37</v>
      </c>
      <c r="B18" s="5" t="s">
        <v>38</v>
      </c>
      <c r="C18" s="7"/>
      <c r="D18" s="7"/>
      <c r="E18" s="7"/>
      <c r="F18" s="18"/>
      <c r="G18" s="7"/>
      <c r="H18" s="18"/>
      <c r="I18" s="25"/>
      <c r="J18" s="18"/>
      <c r="K18" s="18"/>
      <c r="L18" s="18"/>
      <c r="M18" s="7"/>
      <c r="N18" s="7"/>
      <c r="O18" s="16">
        <f t="shared" si="0"/>
        <v>0</v>
      </c>
      <c r="P18" s="27">
        <f t="shared" si="1"/>
        <v>0</v>
      </c>
      <c r="Q18" s="5" t="s">
        <v>38</v>
      </c>
    </row>
    <row r="19" spans="1:17">
      <c r="A19" s="10"/>
      <c r="B19" s="12" t="s">
        <v>40</v>
      </c>
      <c r="C19" s="13"/>
      <c r="D19" s="13"/>
      <c r="E19" s="13"/>
      <c r="F19" s="18"/>
      <c r="G19" s="7"/>
      <c r="H19" s="18"/>
      <c r="I19" s="25"/>
      <c r="J19" s="18"/>
      <c r="K19" s="26"/>
      <c r="L19" s="26"/>
      <c r="M19" s="26"/>
      <c r="N19" s="13"/>
      <c r="O19" s="16">
        <f t="shared" si="0"/>
        <v>0</v>
      </c>
      <c r="P19" s="27">
        <f t="shared" si="1"/>
        <v>0</v>
      </c>
      <c r="Q19" s="12" t="s">
        <v>40</v>
      </c>
    </row>
    <row r="20" spans="1:18">
      <c r="A20" s="5" t="s">
        <v>41</v>
      </c>
      <c r="B20" s="14" t="s">
        <v>42</v>
      </c>
      <c r="C20" s="7"/>
      <c r="D20" s="7"/>
      <c r="E20" s="7"/>
      <c r="F20" s="18"/>
      <c r="G20" s="7"/>
      <c r="H20" s="18"/>
      <c r="I20" s="25"/>
      <c r="J20" s="18"/>
      <c r="K20" s="18"/>
      <c r="L20" s="18"/>
      <c r="M20" s="18"/>
      <c r="N20" s="7"/>
      <c r="O20" s="28">
        <f t="shared" si="0"/>
        <v>0</v>
      </c>
      <c r="P20" s="27">
        <f t="shared" si="1"/>
        <v>0</v>
      </c>
      <c r="Q20" s="14" t="s">
        <v>42</v>
      </c>
      <c r="R20" s="20">
        <f>SUM(O20:O23)</f>
        <v>0</v>
      </c>
    </row>
    <row r="21" spans="1:18">
      <c r="A21" s="15"/>
      <c r="B21" s="14" t="s">
        <v>43</v>
      </c>
      <c r="C21" s="13"/>
      <c r="D21" s="13"/>
      <c r="E21" s="9"/>
      <c r="F21" s="19"/>
      <c r="G21" s="7"/>
      <c r="H21" s="19"/>
      <c r="I21" s="22"/>
      <c r="J21" s="18"/>
      <c r="K21" s="19"/>
      <c r="L21" s="19"/>
      <c r="M21" s="19"/>
      <c r="N21" s="7"/>
      <c r="O21" s="28">
        <f t="shared" si="0"/>
        <v>0</v>
      </c>
      <c r="P21" s="27">
        <f t="shared" si="1"/>
        <v>0</v>
      </c>
      <c r="Q21" s="14" t="s">
        <v>43</v>
      </c>
      <c r="R21" s="20"/>
    </row>
    <row r="22" spans="1:18">
      <c r="A22" s="15"/>
      <c r="B22" s="16" t="s">
        <v>287</v>
      </c>
      <c r="C22" s="7"/>
      <c r="D22" s="7"/>
      <c r="E22" s="7"/>
      <c r="F22" s="16"/>
      <c r="G22" s="16"/>
      <c r="H22" s="16"/>
      <c r="I22" s="16"/>
      <c r="J22" s="16"/>
      <c r="K22" s="16"/>
      <c r="L22" s="16"/>
      <c r="M22" s="16"/>
      <c r="N22" s="7"/>
      <c r="O22" s="28">
        <f t="shared" si="0"/>
        <v>0</v>
      </c>
      <c r="P22" s="27" t="s">
        <v>309</v>
      </c>
      <c r="Q22" s="16" t="s">
        <v>287</v>
      </c>
      <c r="R22" s="20"/>
    </row>
    <row r="23" spans="1:18">
      <c r="A23" s="15"/>
      <c r="B23" s="16" t="s">
        <v>46</v>
      </c>
      <c r="C23" s="17"/>
      <c r="D23" s="7"/>
      <c r="E23" s="7"/>
      <c r="F23" s="20"/>
      <c r="G23" s="20"/>
      <c r="H23" s="20"/>
      <c r="I23" s="20"/>
      <c r="J23" s="20"/>
      <c r="K23" s="20"/>
      <c r="L23" s="20"/>
      <c r="M23" s="20"/>
      <c r="N23" s="20"/>
      <c r="O23" s="28">
        <f t="shared" si="0"/>
        <v>0</v>
      </c>
      <c r="P23" s="27">
        <f>O23/12</f>
        <v>0</v>
      </c>
      <c r="Q23" s="16" t="s">
        <v>46</v>
      </c>
      <c r="R23" s="20"/>
    </row>
    <row r="24" spans="7:7">
      <c r="G24" s="21"/>
    </row>
  </sheetData>
  <mergeCells count="17">
    <mergeCell ref="A3:A6"/>
    <mergeCell ref="A7:A13"/>
    <mergeCell ref="C3:C6"/>
    <mergeCell ref="D3:D6"/>
    <mergeCell ref="E3:E6"/>
    <mergeCell ref="F3:F6"/>
    <mergeCell ref="G3:G6"/>
    <mergeCell ref="H3:H6"/>
    <mergeCell ref="I3:I6"/>
    <mergeCell ref="J3:J6"/>
    <mergeCell ref="K3:K6"/>
    <mergeCell ref="L3:L6"/>
    <mergeCell ref="M3:M6"/>
    <mergeCell ref="N3:N6"/>
    <mergeCell ref="O3:O6"/>
    <mergeCell ref="P3:P6"/>
    <mergeCell ref="R20:R23"/>
  </mergeCells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文字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一月</vt:lpstr>
      <vt:lpstr>二月</vt:lpstr>
      <vt:lpstr>三月</vt:lpstr>
      <vt:lpstr>四月</vt:lpstr>
      <vt:lpstr>五月</vt:lpstr>
      <vt:lpstr>六月</vt:lpstr>
      <vt:lpstr>七月</vt:lpstr>
      <vt:lpstr>八月</vt:lpstr>
      <vt:lpstr>九月</vt:lpstr>
      <vt:lpstr>十月</vt:lpstr>
      <vt:lpstr>十一月</vt:lpstr>
      <vt:lpstr>十二月</vt:lpstr>
      <vt:lpstr>年度总结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luoziweiyu</dc:creator>
  <dcterms:created xsi:type="dcterms:W3CDTF">2021-01-20T15:08:00Z</dcterms:created>
  <dcterms:modified xsi:type="dcterms:W3CDTF">2022-05-18T17:15:53Z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2052-3.3.1.5149</vt:lpwstr>
  </property>
</Properties>
</file>